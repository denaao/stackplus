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/>
  </bookViews>
  <sheets>
    <sheet name="Premiação de torneio" sheetId="1" r:id="rId1"/>
  </sheets>
  <calcPr calcId="144525"/>
</workbook>
</file>

<file path=xl/sharedStrings.xml><?xml version="1.0" encoding="utf-8"?>
<sst xmlns="http://schemas.openxmlformats.org/spreadsheetml/2006/main" count="181" uniqueCount="82">
  <si>
    <t>JOGADORES</t>
  </si>
  <si>
    <t>1 a 5</t>
  </si>
  <si>
    <t>6 a 17</t>
  </si>
  <si>
    <t>18 a 26</t>
  </si>
  <si>
    <t>27 a 35</t>
  </si>
  <si>
    <t>36 a 53</t>
  </si>
  <si>
    <t>54 a 62</t>
  </si>
  <si>
    <t>63 a 80</t>
  </si>
  <si>
    <t>81 a 98</t>
  </si>
  <si>
    <t>99 a 107</t>
  </si>
  <si>
    <t>108 a 134</t>
  </si>
  <si>
    <t>135 a 161</t>
  </si>
  <si>
    <t>162 a 197</t>
  </si>
  <si>
    <t>198 a 242</t>
  </si>
  <si>
    <t>243 a 305</t>
  </si>
  <si>
    <t>306 a 368</t>
  </si>
  <si>
    <t>369 a 431</t>
  </si>
  <si>
    <t>LUGARES</t>
  </si>
  <si>
    <t>2</t>
  </si>
  <si>
    <t>3</t>
  </si>
  <si>
    <t>4</t>
  </si>
  <si>
    <t>5</t>
  </si>
  <si>
    <t>7</t>
  </si>
  <si>
    <t>9</t>
  </si>
  <si>
    <t>11</t>
  </si>
  <si>
    <t>13</t>
  </si>
  <si>
    <t>15</t>
  </si>
  <si>
    <t>17</t>
  </si>
  <si>
    <t>21</t>
  </si>
  <si>
    <t>26</t>
  </si>
  <si>
    <t>35</t>
  </si>
  <si>
    <t>44</t>
  </si>
  <si>
    <t>53</t>
  </si>
  <si>
    <t>62</t>
  </si>
  <si>
    <t>1 LUGAR</t>
  </si>
  <si>
    <t>2 LUGAR</t>
  </si>
  <si>
    <t>3 LUGAR</t>
  </si>
  <si>
    <t>4 LUGAR</t>
  </si>
  <si>
    <t>5 LUGAR</t>
  </si>
  <si>
    <t>6 LUGAR</t>
  </si>
  <si>
    <t>7 LUGAR</t>
  </si>
  <si>
    <t>8 LUGAR</t>
  </si>
  <si>
    <t>9 LUGAR</t>
  </si>
  <si>
    <t>-</t>
  </si>
  <si>
    <t>432 a 485</t>
  </si>
  <si>
    <t>486 a 548</t>
  </si>
  <si>
    <t>549 a 611</t>
  </si>
  <si>
    <t>612 a 701</t>
  </si>
  <si>
    <t>702 a 809</t>
  </si>
  <si>
    <t>810 a 926</t>
  </si>
  <si>
    <t>927 a 1043</t>
  </si>
  <si>
    <t>1044 a 1160</t>
  </si>
  <si>
    <t>1161 a 1304</t>
  </si>
  <si>
    <t>1305 a 1484</t>
  </si>
  <si>
    <t>1485 a 1655</t>
  </si>
  <si>
    <t>1656 a 1835</t>
  </si>
  <si>
    <t>71</t>
  </si>
  <si>
    <t>80</t>
  </si>
  <si>
    <t>89</t>
  </si>
  <si>
    <t>98</t>
  </si>
  <si>
    <t>116</t>
  </si>
  <si>
    <t>134</t>
  </si>
  <si>
    <t>152</t>
  </si>
  <si>
    <t>170</t>
  </si>
  <si>
    <t>188</t>
  </si>
  <si>
    <t>215</t>
  </si>
  <si>
    <t>242</t>
  </si>
  <si>
    <t>269</t>
  </si>
  <si>
    <t>1836 a 2006</t>
  </si>
  <si>
    <t>2007 a 2186</t>
  </si>
  <si>
    <t>2187 a 2357</t>
  </si>
  <si>
    <t>2358 a 2537</t>
  </si>
  <si>
    <t>2538 a 2708</t>
  </si>
  <si>
    <t>2709 a 2888</t>
  </si>
  <si>
    <t>2889-3059</t>
  </si>
  <si>
    <t>296</t>
  </si>
  <si>
    <t>323</t>
  </si>
  <si>
    <t>350</t>
  </si>
  <si>
    <t>377</t>
  </si>
  <si>
    <t>404</t>
  </si>
  <si>
    <t>431</t>
  </si>
  <si>
    <t>458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</si>
</sst>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0%"/>
    <numFmt numFmtId="181" formatCode="0.00000%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7" borderId="10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8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/>
    <xf numFmtId="0" fontId="0" fillId="0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" fontId="1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80" fontId="0" fillId="0" borderId="3" xfId="3" applyNumberFormat="1" applyFont="1" applyBorder="1"/>
    <xf numFmtId="180" fontId="0" fillId="3" borderId="4" xfId="3" applyNumberFormat="1" applyFont="1" applyFill="1" applyBorder="1"/>
    <xf numFmtId="180" fontId="0" fillId="0" borderId="4" xfId="3" applyNumberFormat="1" applyFont="1" applyBorder="1"/>
    <xf numFmtId="180" fontId="0" fillId="4" borderId="0" xfId="3" applyNumberFormat="1" applyFont="1" applyFill="1" applyBorder="1"/>
    <xf numFmtId="180" fontId="0" fillId="4" borderId="0" xfId="0" applyNumberFormat="1" applyFill="1" applyBorder="1"/>
    <xf numFmtId="0" fontId="1" fillId="4" borderId="0" xfId="0" applyFont="1" applyFill="1"/>
    <xf numFmtId="10" fontId="0" fillId="0" borderId="5" xfId="0" applyNumberFormat="1" applyBorder="1"/>
    <xf numFmtId="10" fontId="0" fillId="3" borderId="5" xfId="0" applyNumberFormat="1" applyFill="1" applyBorder="1"/>
    <xf numFmtId="0" fontId="0" fillId="4" borderId="0" xfId="0" applyFill="1"/>
    <xf numFmtId="16" fontId="1" fillId="2" borderId="4" xfId="0" applyNumberFormat="1" applyFont="1" applyFill="1" applyBorder="1" applyAlignment="1">
      <alignment horizontal="center" vertical="center"/>
    </xf>
    <xf numFmtId="180" fontId="0" fillId="0" borderId="4" xfId="0" applyNumberFormat="1" applyBorder="1"/>
    <xf numFmtId="180" fontId="0" fillId="3" borderId="4" xfId="0" applyNumberFormat="1" applyFill="1" applyBorder="1"/>
    <xf numFmtId="180" fontId="0" fillId="4" borderId="0" xfId="0" applyNumberFormat="1" applyFill="1"/>
    <xf numFmtId="10" fontId="0" fillId="0" borderId="4" xfId="0" applyNumberFormat="1" applyBorder="1"/>
    <xf numFmtId="10" fontId="0" fillId="3" borderId="4" xfId="0" applyNumberFormat="1" applyFill="1" applyBorder="1"/>
    <xf numFmtId="0" fontId="1" fillId="0" borderId="4" xfId="0" applyFont="1" applyBorder="1" applyAlignment="1">
      <alignment horizontal="center" vertical="center"/>
    </xf>
    <xf numFmtId="181" fontId="0" fillId="4" borderId="0" xfId="0" applyNumberFormat="1" applyFill="1" applyBorder="1"/>
    <xf numFmtId="180" fontId="0" fillId="0" borderId="5" xfId="0" applyNumberFormat="1" applyBorder="1"/>
    <xf numFmtId="10" fontId="0" fillId="0" borderId="0" xfId="0" applyNumberFormat="1" applyFill="1"/>
    <xf numFmtId="180" fontId="0" fillId="3" borderId="5" xfId="0" applyNumberFormat="1" applyFill="1" applyBorder="1"/>
    <xf numFmtId="180" fontId="0" fillId="4" borderId="0" xfId="3" applyNumberFormat="1" applyFont="1" applyFill="1"/>
    <xf numFmtId="180" fontId="0" fillId="0" borderId="3" xfId="0" applyNumberFormat="1" applyBorder="1"/>
    <xf numFmtId="0" fontId="1" fillId="2" borderId="3" xfId="0" applyFont="1" applyFill="1" applyBorder="1" applyAlignment="1" quotePrefix="1">
      <alignment horizontal="center" vertical="center"/>
    </xf>
    <xf numFmtId="0" fontId="1" fillId="2" borderId="4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109"/>
  <sheetViews>
    <sheetView tabSelected="1" workbookViewId="0">
      <selection activeCell="U8" sqref="U8"/>
    </sheetView>
  </sheetViews>
  <sheetFormatPr defaultColWidth="9" defaultRowHeight="14.4"/>
  <cols>
    <col min="1" max="1" width="5" style="1" customWidth="1"/>
    <col min="2" max="2" width="1.71296296296296" style="1" customWidth="1"/>
    <col min="3" max="3" width="5" style="1" customWidth="1"/>
    <col min="4" max="9" width="10.8518518518519" customWidth="1"/>
    <col min="10" max="10" width="10.4444444444444" customWidth="1"/>
    <col min="11" max="13" width="8.85185185185185" customWidth="1"/>
    <col min="14" max="14" width="9.85185185185185" customWidth="1"/>
    <col min="15" max="18" width="10.8518518518519" customWidth="1"/>
    <col min="19" max="19" width="11.7777777777778" customWidth="1"/>
    <col min="20" max="20" width="9.13888888888889" style="2"/>
  </cols>
  <sheetData>
    <row r="1" spans="1:19">
      <c r="A1" s="3" t="s">
        <v>0</v>
      </c>
      <c r="B1" s="4"/>
      <c r="C1" s="5"/>
      <c r="D1" s="6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</row>
    <row r="2" spans="1:19">
      <c r="A2" s="3" t="s">
        <v>17</v>
      </c>
      <c r="B2" s="4"/>
      <c r="C2" s="5"/>
      <c r="D2" s="33" t="s">
        <v>18</v>
      </c>
      <c r="E2" s="34" t="s">
        <v>19</v>
      </c>
      <c r="F2" s="34" t="s">
        <v>20</v>
      </c>
      <c r="G2" s="34" t="s">
        <v>21</v>
      </c>
      <c r="H2" s="34" t="s">
        <v>22</v>
      </c>
      <c r="I2" s="34" t="s">
        <v>23</v>
      </c>
      <c r="J2" s="34" t="s">
        <v>24</v>
      </c>
      <c r="K2" s="34" t="s">
        <v>25</v>
      </c>
      <c r="L2" s="34" t="s">
        <v>26</v>
      </c>
      <c r="M2" s="34" t="s">
        <v>27</v>
      </c>
      <c r="N2" s="34" t="s">
        <v>28</v>
      </c>
      <c r="O2" s="34" t="s">
        <v>29</v>
      </c>
      <c r="P2" s="34" t="s">
        <v>30</v>
      </c>
      <c r="Q2" s="34" t="s">
        <v>31</v>
      </c>
      <c r="R2" s="34" t="s">
        <v>32</v>
      </c>
      <c r="S2" s="34" t="s">
        <v>33</v>
      </c>
    </row>
    <row r="3" spans="1:20">
      <c r="A3" s="8" t="s">
        <v>34</v>
      </c>
      <c r="B3" s="9"/>
      <c r="C3" s="10"/>
      <c r="D3" s="11">
        <v>0.65</v>
      </c>
      <c r="E3" s="12">
        <v>0.5</v>
      </c>
      <c r="F3" s="13">
        <v>0.44</v>
      </c>
      <c r="G3" s="12">
        <v>0.36</v>
      </c>
      <c r="H3" s="13">
        <v>0.315</v>
      </c>
      <c r="I3" s="12">
        <v>0.29</v>
      </c>
      <c r="J3" s="13">
        <v>0.26</v>
      </c>
      <c r="K3" s="12">
        <v>0.255</v>
      </c>
      <c r="L3" s="13">
        <v>0.245</v>
      </c>
      <c r="M3" s="12">
        <v>0.24</v>
      </c>
      <c r="N3" s="13">
        <v>0.233</v>
      </c>
      <c r="O3" s="12">
        <v>0.2255</v>
      </c>
      <c r="P3" s="13">
        <v>0.2136</v>
      </c>
      <c r="Q3" s="12">
        <v>0.21</v>
      </c>
      <c r="R3" s="13">
        <v>0.2072</v>
      </c>
      <c r="S3" s="22">
        <v>0.205</v>
      </c>
      <c r="T3" s="29"/>
    </row>
    <row r="4" spans="1:20">
      <c r="A4" s="8" t="s">
        <v>35</v>
      </c>
      <c r="B4" s="9"/>
      <c r="C4" s="9"/>
      <c r="D4" s="13">
        <v>0.35</v>
      </c>
      <c r="E4" s="12">
        <v>0.3</v>
      </c>
      <c r="F4" s="13">
        <v>0.28</v>
      </c>
      <c r="G4" s="12">
        <v>0.26</v>
      </c>
      <c r="H4" s="13">
        <v>0.21</v>
      </c>
      <c r="I4" s="12">
        <v>0.19</v>
      </c>
      <c r="J4" s="13">
        <v>0.185</v>
      </c>
      <c r="K4" s="12">
        <v>0.183</v>
      </c>
      <c r="L4" s="13">
        <v>0.172</v>
      </c>
      <c r="M4" s="12">
        <v>0.17</v>
      </c>
      <c r="N4" s="13">
        <v>0.16</v>
      </c>
      <c r="O4" s="12">
        <v>0.152</v>
      </c>
      <c r="P4" s="13">
        <v>0.142</v>
      </c>
      <c r="Q4" s="12">
        <v>0.138</v>
      </c>
      <c r="R4" s="13">
        <v>0.13</v>
      </c>
      <c r="S4" s="22">
        <v>0.127</v>
      </c>
      <c r="T4" s="29"/>
    </row>
    <row r="5" spans="1:20">
      <c r="A5" s="8" t="s">
        <v>36</v>
      </c>
      <c r="B5" s="9"/>
      <c r="C5" s="10"/>
      <c r="D5" s="14"/>
      <c r="E5" s="12">
        <v>0.2</v>
      </c>
      <c r="F5" s="13">
        <v>0.18</v>
      </c>
      <c r="G5" s="12">
        <v>0.19</v>
      </c>
      <c r="H5" s="13">
        <v>0.15</v>
      </c>
      <c r="I5" s="12">
        <v>0.14</v>
      </c>
      <c r="J5" s="13">
        <v>0.135</v>
      </c>
      <c r="K5" s="12">
        <v>0.132</v>
      </c>
      <c r="L5" s="13">
        <v>0.125</v>
      </c>
      <c r="M5" s="12">
        <v>0.123</v>
      </c>
      <c r="N5" s="13">
        <v>0.115</v>
      </c>
      <c r="O5" s="12">
        <v>0.109</v>
      </c>
      <c r="P5" s="13">
        <v>0.1</v>
      </c>
      <c r="Q5" s="12">
        <v>0.095</v>
      </c>
      <c r="R5" s="13">
        <v>0.093</v>
      </c>
      <c r="S5" s="22">
        <v>0.089</v>
      </c>
      <c r="T5" s="29"/>
    </row>
    <row r="6" spans="1:20">
      <c r="A6" s="8" t="s">
        <v>37</v>
      </c>
      <c r="B6" s="9"/>
      <c r="C6" s="10"/>
      <c r="D6" s="14"/>
      <c r="E6" s="14"/>
      <c r="F6" s="13">
        <v>0.1</v>
      </c>
      <c r="G6" s="12">
        <v>0.12</v>
      </c>
      <c r="H6" s="13">
        <v>0.115</v>
      </c>
      <c r="I6" s="12">
        <v>0.1</v>
      </c>
      <c r="J6" s="13">
        <v>0.095</v>
      </c>
      <c r="K6" s="12">
        <v>0.09</v>
      </c>
      <c r="L6" s="13">
        <v>0.086</v>
      </c>
      <c r="M6" s="12">
        <v>0.085</v>
      </c>
      <c r="N6" s="13">
        <v>0.081</v>
      </c>
      <c r="O6" s="12">
        <v>0.079</v>
      </c>
      <c r="P6" s="13">
        <v>0.073</v>
      </c>
      <c r="Q6" s="12">
        <v>0.069</v>
      </c>
      <c r="R6" s="13">
        <v>0.065</v>
      </c>
      <c r="S6" s="22">
        <v>0.06</v>
      </c>
      <c r="T6" s="29"/>
    </row>
    <row r="7" spans="1:20">
      <c r="A7" s="8" t="s">
        <v>38</v>
      </c>
      <c r="B7" s="9"/>
      <c r="C7" s="10"/>
      <c r="D7" s="14"/>
      <c r="E7" s="14"/>
      <c r="F7" s="14"/>
      <c r="G7" s="12">
        <v>0.07</v>
      </c>
      <c r="H7" s="13">
        <v>0.09</v>
      </c>
      <c r="I7" s="12">
        <v>0.08</v>
      </c>
      <c r="J7" s="13">
        <v>0.078</v>
      </c>
      <c r="K7" s="12">
        <v>0.07</v>
      </c>
      <c r="L7" s="13">
        <v>0.064</v>
      </c>
      <c r="M7" s="12">
        <v>0.063</v>
      </c>
      <c r="N7" s="13">
        <v>0.06</v>
      </c>
      <c r="O7" s="12">
        <v>0.057</v>
      </c>
      <c r="P7" s="13">
        <v>0.052</v>
      </c>
      <c r="Q7" s="12">
        <v>0.05</v>
      </c>
      <c r="R7" s="13">
        <v>0.048</v>
      </c>
      <c r="S7" s="22">
        <v>0.045</v>
      </c>
      <c r="T7" s="29"/>
    </row>
    <row r="8" spans="1:20">
      <c r="A8" s="8" t="s">
        <v>39</v>
      </c>
      <c r="B8" s="9"/>
      <c r="C8" s="10"/>
      <c r="D8" s="14"/>
      <c r="E8" s="14"/>
      <c r="F8" s="14"/>
      <c r="G8" s="14"/>
      <c r="H8" s="11">
        <v>0.07</v>
      </c>
      <c r="I8" s="12">
        <v>0.065</v>
      </c>
      <c r="J8" s="13">
        <v>0.063</v>
      </c>
      <c r="K8" s="12">
        <v>0.055</v>
      </c>
      <c r="L8" s="13">
        <v>0.053</v>
      </c>
      <c r="M8" s="12">
        <v>0.051</v>
      </c>
      <c r="N8" s="13">
        <v>0.05</v>
      </c>
      <c r="O8" s="12">
        <v>0.044</v>
      </c>
      <c r="P8" s="13">
        <v>0.04</v>
      </c>
      <c r="Q8" s="12">
        <v>0.04</v>
      </c>
      <c r="R8" s="13">
        <v>0.038</v>
      </c>
      <c r="S8" s="22">
        <v>0.035</v>
      </c>
      <c r="T8" s="29"/>
    </row>
    <row r="9" spans="1:20">
      <c r="A9" s="8" t="s">
        <v>40</v>
      </c>
      <c r="B9" s="9"/>
      <c r="C9" s="10"/>
      <c r="D9" s="14"/>
      <c r="E9" s="14"/>
      <c r="F9" s="14"/>
      <c r="G9" s="14"/>
      <c r="H9" s="13">
        <v>0.05</v>
      </c>
      <c r="I9" s="12">
        <v>0.055</v>
      </c>
      <c r="J9" s="13">
        <v>0.05</v>
      </c>
      <c r="K9" s="12">
        <v>0.045</v>
      </c>
      <c r="L9" s="13">
        <v>0.045</v>
      </c>
      <c r="M9" s="12">
        <v>0.042</v>
      </c>
      <c r="N9" s="13">
        <v>0.04</v>
      </c>
      <c r="O9" s="12">
        <v>0.035</v>
      </c>
      <c r="P9" s="13">
        <v>0.03</v>
      </c>
      <c r="Q9" s="12">
        <v>0.029</v>
      </c>
      <c r="R9" s="13">
        <v>0.028</v>
      </c>
      <c r="S9" s="22">
        <v>0.026</v>
      </c>
      <c r="T9" s="29"/>
    </row>
    <row r="10" spans="1:20">
      <c r="A10" s="8" t="s">
        <v>41</v>
      </c>
      <c r="B10" s="9"/>
      <c r="C10" s="10"/>
      <c r="D10" s="14"/>
      <c r="E10" s="14"/>
      <c r="F10" s="14"/>
      <c r="G10" s="14"/>
      <c r="H10" s="14"/>
      <c r="I10" s="12">
        <v>0.045</v>
      </c>
      <c r="J10" s="13">
        <v>0.041</v>
      </c>
      <c r="K10" s="12">
        <v>0.038</v>
      </c>
      <c r="L10" s="13">
        <v>0.038</v>
      </c>
      <c r="M10" s="12">
        <v>0.034</v>
      </c>
      <c r="N10" s="13">
        <v>0.032</v>
      </c>
      <c r="O10" s="12">
        <v>0.028</v>
      </c>
      <c r="P10" s="13">
        <v>0.0242</v>
      </c>
      <c r="Q10" s="12">
        <v>0.0255</v>
      </c>
      <c r="R10" s="13">
        <v>0.0215</v>
      </c>
      <c r="S10" s="22">
        <v>0.02</v>
      </c>
      <c r="T10" s="29"/>
    </row>
    <row r="11" spans="1:20">
      <c r="A11" s="8" t="s">
        <v>42</v>
      </c>
      <c r="B11" s="9"/>
      <c r="C11" s="10"/>
      <c r="D11" s="14"/>
      <c r="E11" s="14"/>
      <c r="F11" s="14"/>
      <c r="G11" s="14"/>
      <c r="H11" s="14"/>
      <c r="I11" s="12">
        <v>0.035</v>
      </c>
      <c r="J11" s="13">
        <v>0.035</v>
      </c>
      <c r="K11" s="12">
        <v>0.032</v>
      </c>
      <c r="L11" s="13">
        <v>0.032</v>
      </c>
      <c r="M11" s="12">
        <v>0.028</v>
      </c>
      <c r="N11" s="13">
        <v>0.026</v>
      </c>
      <c r="O11" s="12">
        <v>0.024</v>
      </c>
      <c r="P11" s="13">
        <v>0.0205</v>
      </c>
      <c r="Q11" s="12">
        <v>0.0185</v>
      </c>
      <c r="R11" s="13">
        <v>0.018</v>
      </c>
      <c r="S11" s="22">
        <v>0.017</v>
      </c>
      <c r="T11" s="29"/>
    </row>
    <row r="12" spans="1:20">
      <c r="A12" s="8">
        <v>10</v>
      </c>
      <c r="B12" s="9" t="s">
        <v>43</v>
      </c>
      <c r="C12" s="10">
        <v>11</v>
      </c>
      <c r="D12" s="14"/>
      <c r="E12" s="14"/>
      <c r="F12" s="14"/>
      <c r="G12" s="14"/>
      <c r="H12" s="14"/>
      <c r="I12" s="14"/>
      <c r="J12" s="13">
        <v>0.029</v>
      </c>
      <c r="K12" s="12">
        <v>0.027</v>
      </c>
      <c r="L12" s="13">
        <v>0.027</v>
      </c>
      <c r="M12" s="12">
        <v>0.0245</v>
      </c>
      <c r="N12" s="13">
        <v>0.022</v>
      </c>
      <c r="O12" s="12">
        <v>0.021</v>
      </c>
      <c r="P12" s="13">
        <v>0.0185</v>
      </c>
      <c r="Q12" s="12">
        <v>0.016</v>
      </c>
      <c r="R12" s="13">
        <v>0.015</v>
      </c>
      <c r="S12" s="22">
        <v>0.0145</v>
      </c>
      <c r="T12" s="29"/>
    </row>
    <row r="13" spans="1:20">
      <c r="A13" s="8">
        <v>12</v>
      </c>
      <c r="B13" s="9" t="s">
        <v>43</v>
      </c>
      <c r="C13" s="10">
        <v>13</v>
      </c>
      <c r="D13" s="14"/>
      <c r="E13" s="14"/>
      <c r="F13" s="14"/>
      <c r="G13" s="14"/>
      <c r="H13" s="14"/>
      <c r="I13" s="14"/>
      <c r="J13" s="14"/>
      <c r="K13" s="12">
        <v>0.023</v>
      </c>
      <c r="L13" s="13">
        <v>0.023</v>
      </c>
      <c r="M13" s="12">
        <v>0.0215</v>
      </c>
      <c r="N13" s="13">
        <v>0.019</v>
      </c>
      <c r="O13" s="12">
        <v>0.0185</v>
      </c>
      <c r="P13" s="13">
        <v>0.0165</v>
      </c>
      <c r="Q13" s="12">
        <v>0.014</v>
      </c>
      <c r="R13" s="13">
        <v>0.0132</v>
      </c>
      <c r="S13" s="22">
        <v>0.0129</v>
      </c>
      <c r="T13" s="29"/>
    </row>
    <row r="14" spans="1:20">
      <c r="A14" s="8">
        <v>14</v>
      </c>
      <c r="B14" s="9" t="s">
        <v>43</v>
      </c>
      <c r="C14" s="10">
        <v>15</v>
      </c>
      <c r="D14" s="14"/>
      <c r="E14" s="14"/>
      <c r="F14" s="14"/>
      <c r="G14" s="14"/>
      <c r="H14" s="14"/>
      <c r="I14" s="14"/>
      <c r="J14" s="14"/>
      <c r="K14" s="14"/>
      <c r="L14" s="13">
        <v>0.02</v>
      </c>
      <c r="M14" s="12">
        <v>0.019</v>
      </c>
      <c r="N14" s="13">
        <v>0.017</v>
      </c>
      <c r="O14" s="12">
        <v>0.016</v>
      </c>
      <c r="P14" s="13">
        <v>0.0145</v>
      </c>
      <c r="Q14" s="12">
        <v>0.012</v>
      </c>
      <c r="R14" s="13">
        <v>0.0115</v>
      </c>
      <c r="S14" s="22">
        <v>0.011</v>
      </c>
      <c r="T14" s="29"/>
    </row>
    <row r="15" spans="1:20">
      <c r="A15" s="8">
        <v>16</v>
      </c>
      <c r="B15" s="9" t="s">
        <v>43</v>
      </c>
      <c r="C15" s="10">
        <v>17</v>
      </c>
      <c r="D15" s="14"/>
      <c r="E15" s="14"/>
      <c r="F15" s="14"/>
      <c r="G15" s="14"/>
      <c r="H15" s="14"/>
      <c r="I15" s="14"/>
      <c r="J15" s="14"/>
      <c r="K15" s="14"/>
      <c r="L15" s="14"/>
      <c r="M15" s="12">
        <v>0.017</v>
      </c>
      <c r="N15" s="13">
        <v>0.0155</v>
      </c>
      <c r="O15" s="12">
        <v>0.014</v>
      </c>
      <c r="P15" s="13">
        <v>0.013</v>
      </c>
      <c r="Q15" s="12">
        <v>0.0105</v>
      </c>
      <c r="R15" s="13">
        <v>0.0102</v>
      </c>
      <c r="S15" s="22">
        <v>0.0099</v>
      </c>
      <c r="T15" s="29"/>
    </row>
    <row r="16" spans="1:20">
      <c r="A16" s="8">
        <v>18</v>
      </c>
      <c r="B16" s="9" t="s">
        <v>43</v>
      </c>
      <c r="C16" s="10">
        <v>21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3">
        <v>0.014</v>
      </c>
      <c r="O16" s="12">
        <v>0.0125</v>
      </c>
      <c r="P16" s="13">
        <v>0.0115</v>
      </c>
      <c r="Q16" s="12">
        <v>0.0095</v>
      </c>
      <c r="R16" s="13">
        <v>0.009</v>
      </c>
      <c r="S16" s="22">
        <v>0.0085</v>
      </c>
      <c r="T16" s="29"/>
    </row>
    <row r="17" spans="1:20">
      <c r="A17" s="8">
        <v>22</v>
      </c>
      <c r="B17" s="9" t="s">
        <v>43</v>
      </c>
      <c r="C17" s="10">
        <v>26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2">
        <v>0.0115</v>
      </c>
      <c r="P17" s="13">
        <v>0.01</v>
      </c>
      <c r="Q17" s="12">
        <v>0.0085</v>
      </c>
      <c r="R17" s="13">
        <v>0.008</v>
      </c>
      <c r="S17" s="22">
        <v>0.0075</v>
      </c>
      <c r="T17" s="29"/>
    </row>
    <row r="18" spans="1:20">
      <c r="A18" s="8">
        <v>27</v>
      </c>
      <c r="B18" s="9" t="s">
        <v>43</v>
      </c>
      <c r="C18" s="10">
        <v>35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3">
        <v>0.0093</v>
      </c>
      <c r="Q18" s="12">
        <v>0.008</v>
      </c>
      <c r="R18" s="13">
        <v>0.007</v>
      </c>
      <c r="S18" s="22">
        <v>0.0066</v>
      </c>
      <c r="T18" s="29"/>
    </row>
    <row r="19" spans="1:20">
      <c r="A19" s="8">
        <v>36</v>
      </c>
      <c r="B19" s="9" t="s">
        <v>43</v>
      </c>
      <c r="C19" s="10">
        <v>44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27"/>
      <c r="Q19" s="12">
        <v>0.0075</v>
      </c>
      <c r="R19" s="13">
        <v>0.0065</v>
      </c>
      <c r="S19" s="22">
        <v>0.006</v>
      </c>
      <c r="T19" s="29"/>
    </row>
    <row r="20" spans="1:20">
      <c r="A20" s="8">
        <v>45</v>
      </c>
      <c r="B20" s="9" t="s">
        <v>43</v>
      </c>
      <c r="C20" s="10">
        <v>53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27"/>
      <c r="Q20" s="15"/>
      <c r="R20" s="13">
        <v>0.006</v>
      </c>
      <c r="S20" s="22">
        <v>0.0055</v>
      </c>
      <c r="T20" s="29"/>
    </row>
    <row r="21" spans="1:20">
      <c r="A21" s="8">
        <v>54</v>
      </c>
      <c r="B21" s="9" t="s">
        <v>43</v>
      </c>
      <c r="C21" s="10">
        <v>62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27"/>
      <c r="Q21" s="15"/>
      <c r="R21" s="14"/>
      <c r="S21" s="22">
        <v>0.005</v>
      </c>
      <c r="T21" s="29"/>
    </row>
    <row r="22" spans="1:20">
      <c r="A22" s="16"/>
      <c r="B22" s="16"/>
      <c r="C22" s="16"/>
      <c r="D22" s="17">
        <f>SUM(D2:D11)+($C12-$A12+1)*D12+($C13-$A13+1)*D13+($C14-$A14+1)*D14+($C15-$A15+1)*D15+($C16-$A16+1)*D16+($C17-$A17+1)*D17+($C18-$A18+1)*D18+($C19-$A19+1)*D19+($C20-$A20+1)*D20+($C21-$A21+1)*D21</f>
        <v>1</v>
      </c>
      <c r="E22" s="18">
        <f t="shared" ref="E22:N22" si="0">SUM(E2:E11)+($C12-$A12+1)*E12+($C13-$A13+1)*E13+($C14-$A14+1)*E14+($C15-$A15+1)*E15+($C16-$A16+1)*E16+($C17-$A17+1)*E17+($C18-$A18+1)*E18+($C19-$A19+1)*E19+($C20-$A20+1)*E20+($C21-$A21+1)*E21</f>
        <v>1</v>
      </c>
      <c r="F22" s="17">
        <f t="shared" si="0"/>
        <v>1</v>
      </c>
      <c r="G22" s="18">
        <f t="shared" si="0"/>
        <v>1</v>
      </c>
      <c r="H22" s="17">
        <f t="shared" si="0"/>
        <v>1</v>
      </c>
      <c r="I22" s="18">
        <f t="shared" si="0"/>
        <v>1</v>
      </c>
      <c r="J22" s="17">
        <f t="shared" si="0"/>
        <v>1</v>
      </c>
      <c r="K22" s="18">
        <f t="shared" si="0"/>
        <v>1</v>
      </c>
      <c r="L22" s="17">
        <f t="shared" si="0"/>
        <v>1</v>
      </c>
      <c r="M22" s="18">
        <f t="shared" si="0"/>
        <v>1</v>
      </c>
      <c r="N22" s="17">
        <f t="shared" si="0"/>
        <v>1</v>
      </c>
      <c r="O22" s="18">
        <f>SUM(O2:O11)+($C12-$A12+1)*O12+($C13-$A13+1)*O13+($C14-$A14+1)*O14+($C15-$A15+1)*O15+($C16-$A16+1)*O16+($C17-$A17+1)*O17+($C18-$A18+1)*O18+($C19-$A19+1)*O19+($C20-$A20+1)*O20+($C21-$A21+1)*O21</f>
        <v>1</v>
      </c>
      <c r="P22" s="28">
        <f>SUM(P2:P11)+($C12-$A12+1)*P12+($C13-$A13+1)*P13+($C14-$A14+1)*P14+($C15-$A15+1)*P15+($C16-$A16+1)*P16+($C17-$A17+1)*P17+($C18-$A18+1)*P18+($C19-$A19+1)*P19+($C20-$A20+1)*P20+($C21-$A21+1)*P21</f>
        <v>1</v>
      </c>
      <c r="Q22" s="18">
        <f t="shared" ref="Q22" si="1">SUM(Q2:Q11)+($C12-$A12+1)*Q12+($C13-$A13+1)*Q13+($C14-$A14+1)*Q14+($C15-$A15+1)*Q15+($C16-$A16+1)*Q16+($C17-$A17+1)*Q17+($C18-$A18+1)*Q18+($C19-$A19+1)*Q19+($C20-$A20+1)*Q20+($C21-$A21+1)*Q21</f>
        <v>1</v>
      </c>
      <c r="R22" s="17">
        <f t="shared" ref="R22" si="2">SUM(R2:R11)+($C12-$A12+1)*R12+($C13-$A13+1)*R13+($C14-$A14+1)*R14+($C15-$A15+1)*R15+($C16-$A16+1)*R16+($C17-$A17+1)*R17+($C18-$A18+1)*R18+($C19-$A19+1)*R19+($C20-$A20+1)*R20+($C21-$A21+1)*R21</f>
        <v>1</v>
      </c>
      <c r="S22" s="30">
        <f t="shared" ref="S22" si="3">SUM(S2:S11)+($C12-$A12+1)*S12+($C13-$A13+1)*S13+($C14-$A14+1)*S14+($C15-$A15+1)*S15+($C16-$A16+1)*S16+($C17-$A17+1)*S17+($C18-$A18+1)*S18+($C19-$A19+1)*S19+($C20-$A20+1)*S20+($C21-$A21+1)*S21</f>
        <v>1</v>
      </c>
      <c r="T22" s="29"/>
    </row>
    <row r="23" spans="1:19">
      <c r="A23" s="16"/>
      <c r="B23" s="16"/>
      <c r="C23" s="16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spans="1:19">
      <c r="A24" s="3" t="s">
        <v>0</v>
      </c>
      <c r="B24" s="4"/>
      <c r="C24" s="4"/>
      <c r="D24" s="20" t="s">
        <v>13</v>
      </c>
      <c r="E24" s="7" t="s">
        <v>14</v>
      </c>
      <c r="F24" s="7" t="s">
        <v>15</v>
      </c>
      <c r="G24" s="7" t="s">
        <v>16</v>
      </c>
      <c r="H24" s="7" t="s">
        <v>44</v>
      </c>
      <c r="I24" s="7" t="s">
        <v>45</v>
      </c>
      <c r="J24" s="7" t="s">
        <v>46</v>
      </c>
      <c r="K24" s="7" t="s">
        <v>47</v>
      </c>
      <c r="L24" s="7" t="s">
        <v>48</v>
      </c>
      <c r="M24" s="7" t="s">
        <v>49</v>
      </c>
      <c r="N24" s="7" t="s">
        <v>50</v>
      </c>
      <c r="O24" s="7" t="s">
        <v>51</v>
      </c>
      <c r="P24" s="7" t="s">
        <v>52</v>
      </c>
      <c r="Q24" s="7" t="s">
        <v>53</v>
      </c>
      <c r="R24" s="7" t="s">
        <v>54</v>
      </c>
      <c r="S24" s="7" t="s">
        <v>55</v>
      </c>
    </row>
    <row r="25" spans="1:19">
      <c r="A25" s="3" t="s">
        <v>17</v>
      </c>
      <c r="B25" s="4"/>
      <c r="C25" s="4"/>
      <c r="D25" s="34" t="s">
        <v>30</v>
      </c>
      <c r="E25" s="34" t="s">
        <v>31</v>
      </c>
      <c r="F25" s="34" t="s">
        <v>32</v>
      </c>
      <c r="G25" s="34" t="s">
        <v>33</v>
      </c>
      <c r="H25" s="34" t="s">
        <v>56</v>
      </c>
      <c r="I25" s="34" t="s">
        <v>57</v>
      </c>
      <c r="J25" s="34" t="s">
        <v>58</v>
      </c>
      <c r="K25" s="34" t="s">
        <v>59</v>
      </c>
      <c r="L25" s="34" t="s">
        <v>60</v>
      </c>
      <c r="M25" s="34" t="s">
        <v>61</v>
      </c>
      <c r="N25" s="34" t="s">
        <v>62</v>
      </c>
      <c r="O25" s="34" t="s">
        <v>63</v>
      </c>
      <c r="P25" s="34" t="s">
        <v>64</v>
      </c>
      <c r="Q25" s="34" t="s">
        <v>65</v>
      </c>
      <c r="R25" s="34" t="s">
        <v>66</v>
      </c>
      <c r="S25" s="34" t="s">
        <v>67</v>
      </c>
    </row>
    <row r="26" spans="1:19">
      <c r="A26" s="8" t="s">
        <v>34</v>
      </c>
      <c r="B26" s="9"/>
      <c r="C26" s="9"/>
      <c r="D26" s="13">
        <v>0.214</v>
      </c>
      <c r="E26" s="12">
        <v>0.21</v>
      </c>
      <c r="F26" s="13">
        <v>0.2072</v>
      </c>
      <c r="G26" s="12">
        <v>0.205</v>
      </c>
      <c r="H26" s="13">
        <v>0.203</v>
      </c>
      <c r="I26" s="12">
        <v>0.198</v>
      </c>
      <c r="J26" s="13">
        <v>0.19</v>
      </c>
      <c r="K26" s="12">
        <v>0.188</v>
      </c>
      <c r="L26" s="13">
        <v>0.182</v>
      </c>
      <c r="M26" s="12">
        <v>0.178</v>
      </c>
      <c r="N26" s="13">
        <v>0.175</v>
      </c>
      <c r="O26" s="12">
        <v>0.17425</v>
      </c>
      <c r="P26" s="13">
        <v>0.174</v>
      </c>
      <c r="Q26" s="12">
        <v>0.17388</v>
      </c>
      <c r="R26" s="13">
        <v>0.173</v>
      </c>
      <c r="S26" s="22">
        <v>0.1725</v>
      </c>
    </row>
    <row r="27" spans="1:19">
      <c r="A27" s="8" t="s">
        <v>35</v>
      </c>
      <c r="B27" s="9"/>
      <c r="C27" s="9"/>
      <c r="D27" s="13">
        <v>0.142</v>
      </c>
      <c r="E27" s="12">
        <v>0.139</v>
      </c>
      <c r="F27" s="13">
        <v>0.13</v>
      </c>
      <c r="G27" s="12">
        <v>0.127</v>
      </c>
      <c r="H27" s="13">
        <v>0.125</v>
      </c>
      <c r="I27" s="12">
        <v>0.122</v>
      </c>
      <c r="J27" s="13">
        <v>0.121</v>
      </c>
      <c r="K27" s="12">
        <v>0.1189</v>
      </c>
      <c r="L27" s="13">
        <v>0.1136</v>
      </c>
      <c r="M27" s="12">
        <v>0.11025</v>
      </c>
      <c r="N27" s="13">
        <v>0.11</v>
      </c>
      <c r="O27" s="12">
        <v>0.106</v>
      </c>
      <c r="P27" s="13">
        <v>0.1042</v>
      </c>
      <c r="Q27" s="12">
        <v>0.1015</v>
      </c>
      <c r="R27" s="13">
        <v>0.1</v>
      </c>
      <c r="S27" s="22">
        <v>0.098</v>
      </c>
    </row>
    <row r="28" spans="1:19">
      <c r="A28" s="8" t="s">
        <v>36</v>
      </c>
      <c r="B28" s="9"/>
      <c r="C28" s="9"/>
      <c r="D28" s="13">
        <v>0.1</v>
      </c>
      <c r="E28" s="12">
        <v>0.095</v>
      </c>
      <c r="F28" s="13">
        <v>0.093</v>
      </c>
      <c r="G28" s="12">
        <v>0.089</v>
      </c>
      <c r="H28" s="13">
        <v>0.087</v>
      </c>
      <c r="I28" s="12">
        <v>0.083</v>
      </c>
      <c r="J28" s="13">
        <v>0.08</v>
      </c>
      <c r="K28" s="12">
        <v>0.077</v>
      </c>
      <c r="L28" s="13">
        <v>0.072</v>
      </c>
      <c r="M28" s="12">
        <v>0.069</v>
      </c>
      <c r="N28" s="13">
        <v>0.064</v>
      </c>
      <c r="O28" s="12">
        <v>0.0635</v>
      </c>
      <c r="P28" s="13">
        <v>0.062</v>
      </c>
      <c r="Q28" s="12">
        <v>0.059</v>
      </c>
      <c r="R28" s="13">
        <v>0.057</v>
      </c>
      <c r="S28" s="22">
        <v>0.055</v>
      </c>
    </row>
    <row r="29" spans="1:19">
      <c r="A29" s="8" t="s">
        <v>37</v>
      </c>
      <c r="B29" s="9"/>
      <c r="C29" s="9"/>
      <c r="D29" s="13">
        <v>0.073</v>
      </c>
      <c r="E29" s="12">
        <v>0.07</v>
      </c>
      <c r="F29" s="13">
        <v>0.065</v>
      </c>
      <c r="G29" s="12">
        <v>0.06</v>
      </c>
      <c r="H29" s="13">
        <v>0.058</v>
      </c>
      <c r="I29" s="12">
        <v>0.055</v>
      </c>
      <c r="J29" s="13">
        <v>0.053</v>
      </c>
      <c r="K29" s="12">
        <v>0.052</v>
      </c>
      <c r="L29" s="13">
        <v>0.048</v>
      </c>
      <c r="M29" s="12">
        <v>0.046</v>
      </c>
      <c r="N29" s="13">
        <v>0.043</v>
      </c>
      <c r="O29" s="12">
        <v>0.0425</v>
      </c>
      <c r="P29" s="13">
        <v>0.0415</v>
      </c>
      <c r="Q29" s="12">
        <v>0.039</v>
      </c>
      <c r="R29" s="13">
        <v>0.0379</v>
      </c>
      <c r="S29" s="22">
        <v>0.037</v>
      </c>
    </row>
    <row r="30" spans="1:19">
      <c r="A30" s="8" t="s">
        <v>38</v>
      </c>
      <c r="B30" s="9"/>
      <c r="C30" s="9"/>
      <c r="D30" s="13">
        <v>0.052</v>
      </c>
      <c r="E30" s="12">
        <v>0.05</v>
      </c>
      <c r="F30" s="13">
        <v>0.048</v>
      </c>
      <c r="G30" s="12">
        <v>0.045</v>
      </c>
      <c r="H30" s="13">
        <v>0.043</v>
      </c>
      <c r="I30" s="12">
        <v>0.0402</v>
      </c>
      <c r="J30" s="13">
        <v>0.039</v>
      </c>
      <c r="K30" s="12">
        <v>0.037</v>
      </c>
      <c r="L30" s="13">
        <v>0.0345</v>
      </c>
      <c r="M30" s="12">
        <v>0.034</v>
      </c>
      <c r="N30" s="13">
        <v>0.032</v>
      </c>
      <c r="O30" s="12">
        <v>0.031</v>
      </c>
      <c r="P30" s="13">
        <v>0.029</v>
      </c>
      <c r="Q30" s="12">
        <v>0.027</v>
      </c>
      <c r="R30" s="13">
        <v>0.026</v>
      </c>
      <c r="S30" s="22">
        <v>0.025</v>
      </c>
    </row>
    <row r="31" spans="1:19">
      <c r="A31" s="8" t="s">
        <v>39</v>
      </c>
      <c r="B31" s="9"/>
      <c r="C31" s="9"/>
      <c r="D31" s="13">
        <v>0.04</v>
      </c>
      <c r="E31" s="12">
        <v>0.04</v>
      </c>
      <c r="F31" s="13">
        <v>0.038</v>
      </c>
      <c r="G31" s="12">
        <v>0.035</v>
      </c>
      <c r="H31" s="13">
        <v>0.032</v>
      </c>
      <c r="I31" s="12">
        <v>0.03</v>
      </c>
      <c r="J31" s="13">
        <v>0.0294</v>
      </c>
      <c r="K31" s="12">
        <v>0.028</v>
      </c>
      <c r="L31" s="13">
        <v>0.026</v>
      </c>
      <c r="M31" s="12">
        <v>0.024</v>
      </c>
      <c r="N31" s="13">
        <v>0.0237</v>
      </c>
      <c r="O31" s="12">
        <v>0.023</v>
      </c>
      <c r="P31" s="13">
        <v>0.0225</v>
      </c>
      <c r="Q31" s="12">
        <v>0.021</v>
      </c>
      <c r="R31" s="13">
        <v>0.02</v>
      </c>
      <c r="S31" s="22">
        <v>0.018</v>
      </c>
    </row>
    <row r="32" spans="1:19">
      <c r="A32" s="8" t="s">
        <v>40</v>
      </c>
      <c r="B32" s="9"/>
      <c r="C32" s="9"/>
      <c r="D32" s="13">
        <v>0.03</v>
      </c>
      <c r="E32" s="12">
        <v>0.029</v>
      </c>
      <c r="F32" s="13">
        <v>0.028</v>
      </c>
      <c r="G32" s="12">
        <v>0.026</v>
      </c>
      <c r="H32" s="13">
        <v>0.024</v>
      </c>
      <c r="I32" s="12">
        <v>0.0235</v>
      </c>
      <c r="J32" s="13">
        <v>0.023</v>
      </c>
      <c r="K32" s="12">
        <v>0.022</v>
      </c>
      <c r="L32" s="13">
        <v>0.021</v>
      </c>
      <c r="M32" s="12">
        <v>0.0205</v>
      </c>
      <c r="N32" s="13">
        <v>0.0194</v>
      </c>
      <c r="O32" s="12">
        <v>0.019</v>
      </c>
      <c r="P32" s="13">
        <v>0.0187</v>
      </c>
      <c r="Q32" s="12">
        <v>0.017</v>
      </c>
      <c r="R32" s="13">
        <v>0.016</v>
      </c>
      <c r="S32" s="22">
        <v>0.015</v>
      </c>
    </row>
    <row r="33" spans="1:19">
      <c r="A33" s="8" t="s">
        <v>41</v>
      </c>
      <c r="B33" s="9"/>
      <c r="C33" s="9"/>
      <c r="D33" s="13">
        <v>0.0242</v>
      </c>
      <c r="E33" s="12">
        <v>0.023</v>
      </c>
      <c r="F33" s="13">
        <v>0.0215</v>
      </c>
      <c r="G33" s="12">
        <v>0.02</v>
      </c>
      <c r="H33" s="13">
        <v>0.0195</v>
      </c>
      <c r="I33" s="12">
        <v>0.019</v>
      </c>
      <c r="J33" s="13">
        <v>0.0185</v>
      </c>
      <c r="K33" s="12">
        <v>0.0184</v>
      </c>
      <c r="L33" s="13">
        <v>0.01765</v>
      </c>
      <c r="M33" s="12">
        <v>0.017</v>
      </c>
      <c r="N33" s="13">
        <v>0.0162</v>
      </c>
      <c r="O33" s="12">
        <v>0.0156</v>
      </c>
      <c r="P33" s="13">
        <v>0.0154</v>
      </c>
      <c r="Q33" s="12">
        <v>0.014</v>
      </c>
      <c r="R33" s="13">
        <v>0.0135</v>
      </c>
      <c r="S33" s="22">
        <v>0.0131</v>
      </c>
    </row>
    <row r="34" spans="1:19">
      <c r="A34" s="8" t="s">
        <v>42</v>
      </c>
      <c r="B34" s="9"/>
      <c r="C34" s="9"/>
      <c r="D34" s="13">
        <v>0.0205</v>
      </c>
      <c r="E34" s="12">
        <v>0.019</v>
      </c>
      <c r="F34" s="13">
        <v>0.018</v>
      </c>
      <c r="G34" s="12">
        <v>0.017</v>
      </c>
      <c r="H34" s="13">
        <v>0.017</v>
      </c>
      <c r="I34" s="12">
        <v>0.016</v>
      </c>
      <c r="J34" s="13">
        <v>0.0158</v>
      </c>
      <c r="K34" s="12">
        <v>0.0156</v>
      </c>
      <c r="L34" s="13">
        <v>0.01485</v>
      </c>
      <c r="M34" s="12">
        <v>0.0141</v>
      </c>
      <c r="N34" s="13">
        <v>0.013</v>
      </c>
      <c r="O34" s="12">
        <v>0.0128</v>
      </c>
      <c r="P34" s="13">
        <v>0.0127</v>
      </c>
      <c r="Q34" s="12">
        <v>0.0121</v>
      </c>
      <c r="R34" s="13">
        <v>0.01175</v>
      </c>
      <c r="S34" s="22">
        <v>0.0113</v>
      </c>
    </row>
    <row r="35" spans="1:19">
      <c r="A35" s="8">
        <v>10</v>
      </c>
      <c r="B35" s="9" t="s">
        <v>43</v>
      </c>
      <c r="C35" s="9">
        <v>11</v>
      </c>
      <c r="D35" s="13">
        <v>0.0185</v>
      </c>
      <c r="E35" s="12">
        <v>0.016</v>
      </c>
      <c r="F35" s="13">
        <v>0.015</v>
      </c>
      <c r="G35" s="12">
        <v>0.0145</v>
      </c>
      <c r="H35" s="13">
        <v>0.0145</v>
      </c>
      <c r="I35" s="12">
        <v>0.0138</v>
      </c>
      <c r="J35" s="13">
        <v>0.0138</v>
      </c>
      <c r="K35" s="12">
        <v>0.013</v>
      </c>
      <c r="L35" s="13">
        <v>0.0123</v>
      </c>
      <c r="M35" s="12">
        <v>0.0119</v>
      </c>
      <c r="N35" s="13">
        <v>0.0112</v>
      </c>
      <c r="O35" s="12">
        <v>0.011</v>
      </c>
      <c r="P35" s="13">
        <v>0.0108</v>
      </c>
      <c r="Q35" s="12">
        <v>0.0105</v>
      </c>
      <c r="R35" s="13">
        <v>0.01</v>
      </c>
      <c r="S35" s="22">
        <v>0.0095</v>
      </c>
    </row>
    <row r="36" spans="1:19">
      <c r="A36" s="8">
        <v>12</v>
      </c>
      <c r="B36" s="9" t="s">
        <v>43</v>
      </c>
      <c r="C36" s="9">
        <v>13</v>
      </c>
      <c r="D36" s="13">
        <v>0.0165</v>
      </c>
      <c r="E36" s="12">
        <v>0.014</v>
      </c>
      <c r="F36" s="13">
        <v>0.0132</v>
      </c>
      <c r="G36" s="12">
        <v>0.0128</v>
      </c>
      <c r="H36" s="13">
        <v>0.0127</v>
      </c>
      <c r="I36" s="12">
        <v>0.012</v>
      </c>
      <c r="J36" s="13">
        <v>0.0118</v>
      </c>
      <c r="K36" s="12">
        <v>0.011</v>
      </c>
      <c r="L36" s="13">
        <v>0.0103</v>
      </c>
      <c r="M36" s="12">
        <v>0.0101</v>
      </c>
      <c r="N36" s="13">
        <v>0.0098</v>
      </c>
      <c r="O36" s="12">
        <v>0.0096</v>
      </c>
      <c r="P36" s="13">
        <v>0.0093</v>
      </c>
      <c r="Q36" s="12">
        <v>0.009</v>
      </c>
      <c r="R36" s="13">
        <v>0.0086</v>
      </c>
      <c r="S36" s="22">
        <v>0.0081</v>
      </c>
    </row>
    <row r="37" spans="1:19">
      <c r="A37" s="8">
        <v>14</v>
      </c>
      <c r="B37" s="9" t="s">
        <v>43</v>
      </c>
      <c r="C37" s="9">
        <v>15</v>
      </c>
      <c r="D37" s="13">
        <v>0.0145</v>
      </c>
      <c r="E37" s="12">
        <v>0.012</v>
      </c>
      <c r="F37" s="13">
        <v>0.0115</v>
      </c>
      <c r="G37" s="12">
        <v>0.0112</v>
      </c>
      <c r="H37" s="13">
        <v>0.011</v>
      </c>
      <c r="I37" s="12">
        <v>0.0104</v>
      </c>
      <c r="J37" s="13">
        <v>0.0099</v>
      </c>
      <c r="K37" s="12">
        <v>0.0095</v>
      </c>
      <c r="L37" s="13">
        <v>0.009</v>
      </c>
      <c r="M37" s="12">
        <v>0.0087</v>
      </c>
      <c r="N37" s="13">
        <v>0.0084</v>
      </c>
      <c r="O37" s="12">
        <v>0.0083</v>
      </c>
      <c r="P37" s="13">
        <v>0.0081</v>
      </c>
      <c r="Q37" s="12">
        <v>0.0077</v>
      </c>
      <c r="R37" s="13">
        <v>0.0074</v>
      </c>
      <c r="S37" s="22">
        <v>0.007</v>
      </c>
    </row>
    <row r="38" spans="1:19">
      <c r="A38" s="8">
        <v>16</v>
      </c>
      <c r="B38" s="9" t="s">
        <v>43</v>
      </c>
      <c r="C38" s="9">
        <v>17</v>
      </c>
      <c r="D38" s="13">
        <v>0.013</v>
      </c>
      <c r="E38" s="12">
        <v>0.0105</v>
      </c>
      <c r="F38" s="13">
        <v>0.0102</v>
      </c>
      <c r="G38" s="12">
        <v>0.0098</v>
      </c>
      <c r="H38" s="13">
        <v>0.0093</v>
      </c>
      <c r="I38" s="12">
        <v>0.0089</v>
      </c>
      <c r="J38" s="13">
        <v>0.0084</v>
      </c>
      <c r="K38" s="12">
        <v>0.008</v>
      </c>
      <c r="L38" s="13">
        <v>0.0078</v>
      </c>
      <c r="M38" s="12">
        <v>0.0075</v>
      </c>
      <c r="N38" s="13">
        <v>0.0074</v>
      </c>
      <c r="O38" s="12">
        <v>0.0072</v>
      </c>
      <c r="P38" s="13">
        <v>0.007</v>
      </c>
      <c r="Q38" s="12">
        <v>0.0066</v>
      </c>
      <c r="R38" s="13">
        <v>0.0064</v>
      </c>
      <c r="S38" s="22">
        <v>0.0061</v>
      </c>
    </row>
    <row r="39" spans="1:19">
      <c r="A39" s="8">
        <v>18</v>
      </c>
      <c r="B39" s="9" t="s">
        <v>43</v>
      </c>
      <c r="C39" s="9">
        <v>21</v>
      </c>
      <c r="D39" s="13">
        <v>0.0115</v>
      </c>
      <c r="E39" s="12">
        <v>0.0095</v>
      </c>
      <c r="F39" s="13">
        <v>0.009</v>
      </c>
      <c r="G39" s="12">
        <v>0.0085</v>
      </c>
      <c r="H39" s="13">
        <v>0.008</v>
      </c>
      <c r="I39" s="12">
        <v>0.0075</v>
      </c>
      <c r="J39" s="13">
        <v>0.0073</v>
      </c>
      <c r="K39" s="12">
        <v>0.0071</v>
      </c>
      <c r="L39" s="13">
        <v>0.00685</v>
      </c>
      <c r="M39" s="12">
        <v>0.0066</v>
      </c>
      <c r="N39" s="13">
        <v>0.0065</v>
      </c>
      <c r="O39" s="12">
        <v>0.0063</v>
      </c>
      <c r="P39" s="13">
        <v>0.0061</v>
      </c>
      <c r="Q39" s="12">
        <v>0.0058</v>
      </c>
      <c r="R39" s="13">
        <v>0.00565</v>
      </c>
      <c r="S39" s="22">
        <v>0.0054</v>
      </c>
    </row>
    <row r="40" spans="1:19">
      <c r="A40" s="8">
        <v>22</v>
      </c>
      <c r="B40" s="9" t="s">
        <v>43</v>
      </c>
      <c r="C40" s="9">
        <v>26</v>
      </c>
      <c r="D40" s="13">
        <v>0.01</v>
      </c>
      <c r="E40" s="12">
        <v>0.0085</v>
      </c>
      <c r="F40" s="13">
        <v>0.008</v>
      </c>
      <c r="G40" s="12">
        <v>0.0075</v>
      </c>
      <c r="H40" s="13">
        <v>0.007</v>
      </c>
      <c r="I40" s="12">
        <v>0.0066</v>
      </c>
      <c r="J40" s="13">
        <v>0.0065</v>
      </c>
      <c r="K40" s="12">
        <v>0.0064</v>
      </c>
      <c r="L40" s="13">
        <v>0.00615</v>
      </c>
      <c r="M40" s="12">
        <v>0.00595</v>
      </c>
      <c r="N40" s="13">
        <v>0.00585</v>
      </c>
      <c r="O40" s="12">
        <v>0.0055</v>
      </c>
      <c r="P40" s="13">
        <v>0.0053</v>
      </c>
      <c r="Q40" s="12">
        <v>0.0051</v>
      </c>
      <c r="R40" s="13">
        <v>0.005</v>
      </c>
      <c r="S40" s="22">
        <v>0.00478</v>
      </c>
    </row>
    <row r="41" spans="1:19">
      <c r="A41" s="8">
        <v>27</v>
      </c>
      <c r="B41" s="9" t="s">
        <v>43</v>
      </c>
      <c r="C41" s="9">
        <v>35</v>
      </c>
      <c r="D41" s="21">
        <v>0.0093</v>
      </c>
      <c r="E41" s="22">
        <v>0.008</v>
      </c>
      <c r="F41" s="21">
        <v>0.007</v>
      </c>
      <c r="G41" s="22">
        <v>0.0066</v>
      </c>
      <c r="H41" s="21">
        <v>0.0061</v>
      </c>
      <c r="I41" s="22">
        <v>0.006</v>
      </c>
      <c r="J41" s="21">
        <v>0.0059</v>
      </c>
      <c r="K41" s="22">
        <v>0.0057</v>
      </c>
      <c r="L41" s="13">
        <v>0.00545</v>
      </c>
      <c r="M41" s="22">
        <v>0.00535</v>
      </c>
      <c r="N41" s="21">
        <v>0.0052</v>
      </c>
      <c r="O41" s="22">
        <v>0.0048</v>
      </c>
      <c r="P41" s="13">
        <v>0.0046</v>
      </c>
      <c r="Q41" s="12">
        <v>0.0045</v>
      </c>
      <c r="R41" s="13">
        <v>0.00435</v>
      </c>
      <c r="S41" s="22">
        <v>0.00419</v>
      </c>
    </row>
    <row r="42" spans="1:19">
      <c r="A42" s="8">
        <v>36</v>
      </c>
      <c r="B42" s="9" t="s">
        <v>43</v>
      </c>
      <c r="C42" s="10">
        <v>44</v>
      </c>
      <c r="D42" s="23"/>
      <c r="E42" s="22">
        <v>0.0075</v>
      </c>
      <c r="F42" s="21">
        <v>0.0065</v>
      </c>
      <c r="G42" s="22">
        <v>0.006</v>
      </c>
      <c r="H42" s="21">
        <v>0.0055</v>
      </c>
      <c r="I42" s="22">
        <v>0.0054</v>
      </c>
      <c r="J42" s="21">
        <v>0.0053</v>
      </c>
      <c r="K42" s="22">
        <v>0.0051</v>
      </c>
      <c r="L42" s="21">
        <v>0.0049</v>
      </c>
      <c r="M42" s="22">
        <v>0.0048</v>
      </c>
      <c r="N42" s="21">
        <v>0.0046</v>
      </c>
      <c r="O42" s="22">
        <v>0.0042</v>
      </c>
      <c r="P42" s="13">
        <v>0.004</v>
      </c>
      <c r="Q42" s="12">
        <v>0.0039</v>
      </c>
      <c r="R42" s="13">
        <v>0.00375</v>
      </c>
      <c r="S42" s="22">
        <v>0.00365</v>
      </c>
    </row>
    <row r="43" spans="1:19">
      <c r="A43" s="8">
        <v>45</v>
      </c>
      <c r="B43" s="9" t="s">
        <v>43</v>
      </c>
      <c r="C43" s="10">
        <v>53</v>
      </c>
      <c r="D43" s="23"/>
      <c r="E43" s="23"/>
      <c r="F43" s="21">
        <v>0.006</v>
      </c>
      <c r="G43" s="22">
        <v>0.0055</v>
      </c>
      <c r="H43" s="21">
        <v>0.005</v>
      </c>
      <c r="I43" s="22">
        <v>0.0049</v>
      </c>
      <c r="J43" s="21">
        <v>0.0048</v>
      </c>
      <c r="K43" s="22">
        <v>0.0046</v>
      </c>
      <c r="L43" s="21">
        <v>0.0045</v>
      </c>
      <c r="M43" s="22">
        <v>0.00425</v>
      </c>
      <c r="N43" s="21">
        <v>0.004</v>
      </c>
      <c r="O43" s="22">
        <v>0.0038</v>
      </c>
      <c r="P43" s="21">
        <v>0.0036</v>
      </c>
      <c r="Q43" s="22">
        <v>0.00355</v>
      </c>
      <c r="R43" s="13">
        <v>0.00335</v>
      </c>
      <c r="S43" s="22">
        <v>0.00325</v>
      </c>
    </row>
    <row r="44" spans="1:19">
      <c r="A44" s="8">
        <v>54</v>
      </c>
      <c r="B44" s="9" t="s">
        <v>43</v>
      </c>
      <c r="C44" s="10">
        <v>62</v>
      </c>
      <c r="D44" s="23"/>
      <c r="E44" s="23"/>
      <c r="F44" s="23"/>
      <c r="G44" s="22">
        <v>0.005</v>
      </c>
      <c r="H44" s="21">
        <v>0.0046</v>
      </c>
      <c r="I44" s="22">
        <v>0.0045</v>
      </c>
      <c r="J44" s="21">
        <v>0.0043</v>
      </c>
      <c r="K44" s="22">
        <v>0.0042</v>
      </c>
      <c r="L44" s="21">
        <v>0.0041</v>
      </c>
      <c r="M44" s="22">
        <v>0.00375</v>
      </c>
      <c r="N44" s="21">
        <v>0.0036</v>
      </c>
      <c r="O44" s="22">
        <v>0.00345</v>
      </c>
      <c r="P44" s="21">
        <v>0.0033</v>
      </c>
      <c r="Q44" s="22">
        <v>0.0032</v>
      </c>
      <c r="R44" s="13">
        <v>0.003</v>
      </c>
      <c r="S44" s="22">
        <v>0.00293</v>
      </c>
    </row>
    <row r="45" spans="1:19">
      <c r="A45" s="8">
        <v>63</v>
      </c>
      <c r="B45" s="9" t="s">
        <v>43</v>
      </c>
      <c r="C45" s="10">
        <v>71</v>
      </c>
      <c r="D45" s="23"/>
      <c r="E45" s="23"/>
      <c r="F45" s="23"/>
      <c r="G45" s="23"/>
      <c r="H45" s="21">
        <v>0.0043</v>
      </c>
      <c r="I45" s="22">
        <v>0.0042</v>
      </c>
      <c r="J45" s="21">
        <v>0.0039</v>
      </c>
      <c r="K45" s="22">
        <v>0.0038</v>
      </c>
      <c r="L45" s="21">
        <v>0.0037</v>
      </c>
      <c r="M45" s="22">
        <v>0.00335</v>
      </c>
      <c r="N45" s="21">
        <v>0.0032</v>
      </c>
      <c r="O45" s="22">
        <v>0.00315</v>
      </c>
      <c r="P45" s="21">
        <v>0.003</v>
      </c>
      <c r="Q45" s="22">
        <v>0.0029</v>
      </c>
      <c r="R45" s="13">
        <v>0.00275</v>
      </c>
      <c r="S45" s="22">
        <v>0.00265</v>
      </c>
    </row>
    <row r="46" spans="1:19">
      <c r="A46" s="8">
        <v>72</v>
      </c>
      <c r="B46" s="9" t="s">
        <v>43</v>
      </c>
      <c r="C46" s="10">
        <v>80</v>
      </c>
      <c r="D46" s="23"/>
      <c r="E46" s="23"/>
      <c r="F46" s="23"/>
      <c r="G46" s="23"/>
      <c r="H46" s="23"/>
      <c r="I46" s="22">
        <v>0.0039</v>
      </c>
      <c r="J46" s="21">
        <v>0.0036</v>
      </c>
      <c r="K46" s="22">
        <v>0.0035</v>
      </c>
      <c r="L46" s="21">
        <v>0.0033</v>
      </c>
      <c r="M46" s="22">
        <v>0.003</v>
      </c>
      <c r="N46" s="21">
        <v>0.00295</v>
      </c>
      <c r="O46" s="22">
        <v>0.00285</v>
      </c>
      <c r="P46" s="21">
        <v>0.0027</v>
      </c>
      <c r="Q46" s="22">
        <v>0.0026</v>
      </c>
      <c r="R46" s="13">
        <v>0.0025</v>
      </c>
      <c r="S46" s="22">
        <v>0.0024</v>
      </c>
    </row>
    <row r="47" spans="1:19">
      <c r="A47" s="8">
        <v>81</v>
      </c>
      <c r="B47" s="9" t="s">
        <v>43</v>
      </c>
      <c r="C47" s="10">
        <v>89</v>
      </c>
      <c r="D47" s="23"/>
      <c r="E47" s="23"/>
      <c r="F47" s="23"/>
      <c r="G47" s="23"/>
      <c r="H47" s="23"/>
      <c r="I47" s="23"/>
      <c r="J47" s="21">
        <v>0.0034</v>
      </c>
      <c r="K47" s="22">
        <v>0.0033</v>
      </c>
      <c r="L47" s="21">
        <v>0.003</v>
      </c>
      <c r="M47" s="22">
        <v>0.0028</v>
      </c>
      <c r="N47" s="21">
        <v>0.0027</v>
      </c>
      <c r="O47" s="22">
        <v>0.0026</v>
      </c>
      <c r="P47" s="21">
        <v>0.0025</v>
      </c>
      <c r="Q47" s="22">
        <v>0.0023</v>
      </c>
      <c r="R47" s="13">
        <v>0.0023</v>
      </c>
      <c r="S47" s="22">
        <v>0.00218</v>
      </c>
    </row>
    <row r="48" spans="1:19">
      <c r="A48" s="8">
        <v>90</v>
      </c>
      <c r="B48" s="9" t="s">
        <v>43</v>
      </c>
      <c r="C48" s="10">
        <v>98</v>
      </c>
      <c r="D48" s="23"/>
      <c r="E48" s="23"/>
      <c r="F48" s="23"/>
      <c r="G48" s="23"/>
      <c r="H48" s="23"/>
      <c r="I48" s="23"/>
      <c r="J48" s="23"/>
      <c r="K48" s="22">
        <v>0.0031</v>
      </c>
      <c r="L48" s="21">
        <v>0.0028</v>
      </c>
      <c r="M48" s="22">
        <v>0.0026</v>
      </c>
      <c r="N48" s="21">
        <v>0.0025</v>
      </c>
      <c r="O48" s="22">
        <v>0.0024</v>
      </c>
      <c r="P48" s="21">
        <v>0.0023</v>
      </c>
      <c r="Q48" s="22">
        <v>0.0021</v>
      </c>
      <c r="R48" s="13">
        <v>0.0021</v>
      </c>
      <c r="S48" s="22">
        <v>0.002</v>
      </c>
    </row>
    <row r="49" spans="1:19">
      <c r="A49" s="8">
        <v>99</v>
      </c>
      <c r="B49" s="9" t="s">
        <v>43</v>
      </c>
      <c r="C49" s="10">
        <v>116</v>
      </c>
      <c r="D49" s="23"/>
      <c r="E49" s="23"/>
      <c r="F49" s="23"/>
      <c r="G49" s="23"/>
      <c r="H49" s="23"/>
      <c r="I49" s="23"/>
      <c r="J49" s="23"/>
      <c r="K49" s="23"/>
      <c r="L49" s="21">
        <v>0.00265</v>
      </c>
      <c r="M49" s="22">
        <v>0.00245</v>
      </c>
      <c r="N49" s="21">
        <v>0.0023</v>
      </c>
      <c r="O49" s="22">
        <v>0.0022</v>
      </c>
      <c r="P49" s="21">
        <v>0.0021</v>
      </c>
      <c r="Q49" s="22">
        <v>0.00195</v>
      </c>
      <c r="R49" s="13">
        <v>0.0019</v>
      </c>
      <c r="S49" s="22">
        <v>0.00183</v>
      </c>
    </row>
    <row r="50" spans="1:19">
      <c r="A50" s="8">
        <v>117</v>
      </c>
      <c r="B50" s="9" t="s">
        <v>43</v>
      </c>
      <c r="C50" s="10">
        <v>134</v>
      </c>
      <c r="D50" s="23"/>
      <c r="E50" s="23"/>
      <c r="F50" s="23"/>
      <c r="G50" s="23"/>
      <c r="H50" s="23"/>
      <c r="I50" s="23"/>
      <c r="J50" s="23"/>
      <c r="K50" s="23"/>
      <c r="L50" s="23"/>
      <c r="M50" s="22">
        <v>0.0023</v>
      </c>
      <c r="N50" s="21">
        <v>0.00215</v>
      </c>
      <c r="O50" s="22">
        <v>0.002</v>
      </c>
      <c r="P50" s="21">
        <v>0.00195</v>
      </c>
      <c r="Q50" s="22">
        <v>0.0018</v>
      </c>
      <c r="R50" s="13">
        <v>0.00175</v>
      </c>
      <c r="S50" s="22">
        <v>0.00168</v>
      </c>
    </row>
    <row r="51" spans="1:19">
      <c r="A51" s="8">
        <v>135</v>
      </c>
      <c r="B51" s="9" t="s">
        <v>43</v>
      </c>
      <c r="C51" s="10">
        <v>152</v>
      </c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1">
        <v>0.002</v>
      </c>
      <c r="O51" s="22">
        <v>0.0019</v>
      </c>
      <c r="P51" s="21">
        <v>0.0018</v>
      </c>
      <c r="Q51" s="22">
        <v>0.0017</v>
      </c>
      <c r="R51" s="13">
        <v>0.0016</v>
      </c>
      <c r="S51" s="22">
        <v>0.00155</v>
      </c>
    </row>
    <row r="52" spans="1:19">
      <c r="A52" s="8">
        <v>153</v>
      </c>
      <c r="B52" s="9" t="s">
        <v>43</v>
      </c>
      <c r="C52" s="10">
        <v>170</v>
      </c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2">
        <v>0.0018</v>
      </c>
      <c r="P52" s="21">
        <v>0.0017</v>
      </c>
      <c r="Q52" s="22">
        <v>0.00161</v>
      </c>
      <c r="R52" s="13">
        <v>0.0015</v>
      </c>
      <c r="S52" s="22">
        <v>0.00145</v>
      </c>
    </row>
    <row r="53" spans="1:19">
      <c r="A53" s="8">
        <v>171</v>
      </c>
      <c r="B53" s="9" t="s">
        <v>43</v>
      </c>
      <c r="C53" s="10">
        <v>188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1">
        <v>0.0016</v>
      </c>
      <c r="Q53" s="22">
        <v>0.00153</v>
      </c>
      <c r="R53" s="13">
        <v>0.0014</v>
      </c>
      <c r="S53" s="22">
        <v>0.00135</v>
      </c>
    </row>
    <row r="54" spans="1:19">
      <c r="A54" s="8">
        <v>189</v>
      </c>
      <c r="B54" s="9" t="s">
        <v>43</v>
      </c>
      <c r="C54" s="10">
        <v>215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2">
        <v>0.00145</v>
      </c>
      <c r="R54" s="13">
        <v>0.0013</v>
      </c>
      <c r="S54" s="22">
        <v>0.00127</v>
      </c>
    </row>
    <row r="55" spans="1:19">
      <c r="A55" s="8">
        <v>216</v>
      </c>
      <c r="B55" s="9" t="s">
        <v>43</v>
      </c>
      <c r="C55" s="10">
        <v>242</v>
      </c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13">
        <v>0.00125</v>
      </c>
      <c r="S55" s="22">
        <v>0.0012</v>
      </c>
    </row>
    <row r="56" spans="1:19">
      <c r="A56" s="8">
        <v>243</v>
      </c>
      <c r="B56" s="9" t="s">
        <v>43</v>
      </c>
      <c r="C56" s="10">
        <v>269</v>
      </c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31"/>
      <c r="S56" s="22">
        <v>0.00114</v>
      </c>
    </row>
    <row r="57" spans="1:19">
      <c r="A57" s="16"/>
      <c r="B57" s="16"/>
      <c r="C57" s="16"/>
      <c r="D57" s="24">
        <f>SUM(D25:D34)+($C35-$A35+1)*D35+($C36-$A36+1)*D36+($C37-$A37+1)*D37+($C38-$A38+1)*D38+($C39-$A39+1)*D39+($C40-$A40+1)*D40+($C41-$A41+1)*D41+($C42-$A42+1)*D42+($C43-$A43+1)*D43+($C44-$A44+1)*D44+($C45-$A45+1)*D45+($C46-$A46+1)*D46+($C47-$A47+1)*D47+($C48-$A48+1)*D48+($C49-$A49+1)*D49+($C50-$A50+1)*D50+($C51-$A51+1)*D51+($C52-$A52+1)*D52+($C53-$A53+1)*D53+($C54-$A54+1)*D54+($C55-$A55+1)*D55+($C56-$A56+1)*D56</f>
        <v>1.0004</v>
      </c>
      <c r="E57" s="25">
        <f t="shared" ref="E57:S57" si="4">SUM(E25:E34)+($C35-$A35+1)*E35+($C36-$A36+1)*E36+($C37-$A37+1)*E37+($C38-$A38+1)*E38+($C39-$A39+1)*E39+($C40-$A40+1)*E40+($C41-$A41+1)*E41+($C42-$A42+1)*E42+($C43-$A43+1)*E43+($C44-$A44+1)*E44+($C45-$A45+1)*E45+($C46-$A46+1)*E46+($C47-$A47+1)*E47+($C48-$A48+1)*E48+($C49-$A49+1)*E49+($C50-$A50+1)*E50+($C51-$A51+1)*E51+($C52-$A52+1)*E52+($C53-$A53+1)*E53+($C54-$A54+1)*E54+($C55-$A55+1)*E55+($C56-$A56+1)*E56</f>
        <v>1</v>
      </c>
      <c r="F57" s="24">
        <f t="shared" si="4"/>
        <v>1</v>
      </c>
      <c r="G57" s="25">
        <f t="shared" si="4"/>
        <v>1</v>
      </c>
      <c r="H57" s="24">
        <f t="shared" si="4"/>
        <v>1</v>
      </c>
      <c r="I57" s="25">
        <f t="shared" si="4"/>
        <v>1</v>
      </c>
      <c r="J57" s="24">
        <f t="shared" si="4"/>
        <v>1</v>
      </c>
      <c r="K57" s="25">
        <f t="shared" si="4"/>
        <v>1</v>
      </c>
      <c r="L57" s="24">
        <f t="shared" si="4"/>
        <v>1</v>
      </c>
      <c r="M57" s="25">
        <f t="shared" si="4"/>
        <v>1</v>
      </c>
      <c r="N57" s="24">
        <f t="shared" si="4"/>
        <v>1</v>
      </c>
      <c r="O57" s="25">
        <f t="shared" si="4"/>
        <v>1</v>
      </c>
      <c r="P57" s="24">
        <f t="shared" si="4"/>
        <v>1</v>
      </c>
      <c r="Q57" s="25">
        <f t="shared" si="4"/>
        <v>1</v>
      </c>
      <c r="R57" s="24">
        <f t="shared" si="4"/>
        <v>1</v>
      </c>
      <c r="S57" s="25">
        <f t="shared" si="4"/>
        <v>1</v>
      </c>
    </row>
    <row r="58" spans="1:19">
      <c r="A58" s="16"/>
      <c r="B58" s="16"/>
      <c r="C58" s="16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</row>
    <row r="59" spans="1:19">
      <c r="A59" s="7" t="s">
        <v>0</v>
      </c>
      <c r="B59" s="7"/>
      <c r="C59" s="7"/>
      <c r="D59" s="20" t="s">
        <v>68</v>
      </c>
      <c r="E59" s="7" t="s">
        <v>69</v>
      </c>
      <c r="F59" s="7" t="s">
        <v>70</v>
      </c>
      <c r="G59" s="7" t="s">
        <v>71</v>
      </c>
      <c r="H59" s="7" t="s">
        <v>72</v>
      </c>
      <c r="I59" s="7" t="s">
        <v>73</v>
      </c>
      <c r="J59" s="7" t="s">
        <v>74</v>
      </c>
      <c r="K59" s="7"/>
      <c r="L59" s="7"/>
      <c r="M59" s="7"/>
      <c r="N59" s="7"/>
      <c r="O59" s="7"/>
      <c r="P59" s="7"/>
      <c r="Q59" s="7"/>
      <c r="R59" s="7"/>
      <c r="S59" s="7"/>
    </row>
    <row r="60" spans="1:19">
      <c r="A60" s="7" t="s">
        <v>17</v>
      </c>
      <c r="B60" s="7"/>
      <c r="C60" s="7"/>
      <c r="D60" s="34" t="s">
        <v>75</v>
      </c>
      <c r="E60" s="34" t="s">
        <v>76</v>
      </c>
      <c r="F60" s="34" t="s">
        <v>77</v>
      </c>
      <c r="G60" s="34" t="s">
        <v>78</v>
      </c>
      <c r="H60" s="34" t="s">
        <v>79</v>
      </c>
      <c r="I60" s="34" t="s">
        <v>80</v>
      </c>
      <c r="J60" s="34" t="s">
        <v>81</v>
      </c>
      <c r="K60" s="7"/>
      <c r="L60" s="7"/>
      <c r="M60" s="7"/>
      <c r="N60" s="7"/>
      <c r="O60" s="7"/>
      <c r="P60" s="7"/>
      <c r="Q60" s="7"/>
      <c r="R60" s="7"/>
      <c r="S60" s="7"/>
    </row>
    <row r="61" spans="1:19">
      <c r="A61" s="26" t="s">
        <v>34</v>
      </c>
      <c r="B61" s="26"/>
      <c r="C61" s="26"/>
      <c r="D61" s="13">
        <v>0.172</v>
      </c>
      <c r="E61" s="12">
        <v>0.1705</v>
      </c>
      <c r="F61" s="13">
        <v>0.1705</v>
      </c>
      <c r="G61" s="12">
        <v>0.1704</v>
      </c>
      <c r="H61" s="13">
        <v>0.17029</v>
      </c>
      <c r="I61" s="12">
        <v>0.17024</v>
      </c>
      <c r="J61" s="13">
        <v>0.1702</v>
      </c>
      <c r="K61" s="12"/>
      <c r="L61" s="13"/>
      <c r="M61" s="12"/>
      <c r="N61" s="13"/>
      <c r="O61" s="12"/>
      <c r="P61" s="13"/>
      <c r="Q61" s="12"/>
      <c r="R61" s="13"/>
      <c r="S61" s="22"/>
    </row>
    <row r="62" spans="1:19">
      <c r="A62" s="26" t="s">
        <v>35</v>
      </c>
      <c r="B62" s="26"/>
      <c r="C62" s="26"/>
      <c r="D62" s="13">
        <v>0.096</v>
      </c>
      <c r="E62" s="12">
        <v>0.095</v>
      </c>
      <c r="F62" s="13">
        <v>0.09498</v>
      </c>
      <c r="G62" s="12">
        <v>0.094</v>
      </c>
      <c r="H62" s="13">
        <v>0.0937</v>
      </c>
      <c r="I62" s="12">
        <v>0.0935</v>
      </c>
      <c r="J62" s="13">
        <v>0.0933</v>
      </c>
      <c r="K62" s="12"/>
      <c r="L62" s="13"/>
      <c r="M62" s="12"/>
      <c r="N62" s="13"/>
      <c r="O62" s="12"/>
      <c r="P62" s="13"/>
      <c r="Q62" s="12"/>
      <c r="R62" s="13"/>
      <c r="S62" s="22"/>
    </row>
    <row r="63" spans="1:19">
      <c r="A63" s="26" t="s">
        <v>36</v>
      </c>
      <c r="B63" s="26"/>
      <c r="C63" s="26"/>
      <c r="D63" s="13">
        <v>0.053</v>
      </c>
      <c r="E63" s="12">
        <v>0.052</v>
      </c>
      <c r="F63" s="13">
        <v>0.052</v>
      </c>
      <c r="G63" s="12">
        <v>0.0518</v>
      </c>
      <c r="H63" s="13">
        <v>0.0515</v>
      </c>
      <c r="I63" s="12">
        <v>0.0512</v>
      </c>
      <c r="J63" s="13">
        <v>0.051</v>
      </c>
      <c r="K63" s="12"/>
      <c r="L63" s="13"/>
      <c r="M63" s="12"/>
      <c r="N63" s="13"/>
      <c r="O63" s="12"/>
      <c r="P63" s="13"/>
      <c r="Q63" s="12"/>
      <c r="R63" s="13"/>
      <c r="S63" s="22"/>
    </row>
    <row r="64" spans="1:19">
      <c r="A64" s="26" t="s">
        <v>37</v>
      </c>
      <c r="B64" s="26"/>
      <c r="C64" s="26"/>
      <c r="D64" s="13">
        <v>0.036</v>
      </c>
      <c r="E64" s="12">
        <v>0.034</v>
      </c>
      <c r="F64" s="13">
        <v>0.034</v>
      </c>
      <c r="G64" s="12">
        <v>0.03342</v>
      </c>
      <c r="H64" s="13">
        <v>0.033</v>
      </c>
      <c r="I64" s="12">
        <v>0.0328</v>
      </c>
      <c r="J64" s="13">
        <v>0.0326</v>
      </c>
      <c r="K64" s="12"/>
      <c r="L64" s="13"/>
      <c r="M64" s="12"/>
      <c r="N64" s="13"/>
      <c r="O64" s="12"/>
      <c r="P64" s="13"/>
      <c r="Q64" s="12"/>
      <c r="R64" s="13"/>
      <c r="S64" s="22"/>
    </row>
    <row r="65" spans="1:19">
      <c r="A65" s="26" t="s">
        <v>38</v>
      </c>
      <c r="B65" s="26"/>
      <c r="C65" s="26"/>
      <c r="D65" s="13">
        <v>0.024</v>
      </c>
      <c r="E65" s="12">
        <v>0.0225</v>
      </c>
      <c r="F65" s="13">
        <v>0.0225</v>
      </c>
      <c r="G65" s="12">
        <v>0.0223</v>
      </c>
      <c r="H65" s="13">
        <v>0.0222</v>
      </c>
      <c r="I65" s="12">
        <v>0.022</v>
      </c>
      <c r="J65" s="13">
        <v>0.0218</v>
      </c>
      <c r="K65" s="12"/>
      <c r="L65" s="13"/>
      <c r="M65" s="12"/>
      <c r="N65" s="13"/>
      <c r="O65" s="12"/>
      <c r="P65" s="13"/>
      <c r="Q65" s="12"/>
      <c r="R65" s="13"/>
      <c r="S65" s="22"/>
    </row>
    <row r="66" spans="1:19">
      <c r="A66" s="26" t="s">
        <v>39</v>
      </c>
      <c r="B66" s="26"/>
      <c r="C66" s="26"/>
      <c r="D66" s="13">
        <v>0.0165</v>
      </c>
      <c r="E66" s="12">
        <v>0.0168</v>
      </c>
      <c r="F66" s="13">
        <v>0.0168</v>
      </c>
      <c r="G66" s="12">
        <v>0.0165</v>
      </c>
      <c r="H66" s="13">
        <v>0.0164</v>
      </c>
      <c r="I66" s="12">
        <v>0.0163</v>
      </c>
      <c r="J66" s="13">
        <v>0.0163</v>
      </c>
      <c r="K66" s="12"/>
      <c r="L66" s="13"/>
      <c r="M66" s="12"/>
      <c r="N66" s="13"/>
      <c r="O66" s="12"/>
      <c r="P66" s="13"/>
      <c r="Q66" s="12"/>
      <c r="R66" s="13"/>
      <c r="S66" s="22"/>
    </row>
    <row r="67" spans="1:19">
      <c r="A67" s="26" t="s">
        <v>40</v>
      </c>
      <c r="B67" s="26"/>
      <c r="C67" s="26"/>
      <c r="D67" s="13">
        <v>0.0144</v>
      </c>
      <c r="E67" s="12">
        <v>0.014</v>
      </c>
      <c r="F67" s="13">
        <v>0.014</v>
      </c>
      <c r="G67" s="12">
        <v>0.0138</v>
      </c>
      <c r="H67" s="13">
        <v>0.0137</v>
      </c>
      <c r="I67" s="12">
        <v>0.0134</v>
      </c>
      <c r="J67" s="13">
        <v>0.0132</v>
      </c>
      <c r="K67" s="12"/>
      <c r="L67" s="13"/>
      <c r="M67" s="12"/>
      <c r="N67" s="13"/>
      <c r="O67" s="12"/>
      <c r="P67" s="13"/>
      <c r="Q67" s="12"/>
      <c r="R67" s="13"/>
      <c r="S67" s="22"/>
    </row>
    <row r="68" spans="1:19">
      <c r="A68" s="26" t="s">
        <v>41</v>
      </c>
      <c r="B68" s="26"/>
      <c r="C68" s="26"/>
      <c r="D68" s="13">
        <v>0.0125</v>
      </c>
      <c r="E68" s="12">
        <v>0.01186</v>
      </c>
      <c r="F68" s="13">
        <v>0.0118</v>
      </c>
      <c r="G68" s="12">
        <v>0.0115</v>
      </c>
      <c r="H68" s="13">
        <v>0.0114</v>
      </c>
      <c r="I68" s="12">
        <v>0.0112</v>
      </c>
      <c r="J68" s="13">
        <v>0.011</v>
      </c>
      <c r="K68" s="12"/>
      <c r="L68" s="13"/>
      <c r="M68" s="12"/>
      <c r="N68" s="13"/>
      <c r="O68" s="12"/>
      <c r="P68" s="13"/>
      <c r="Q68" s="12"/>
      <c r="R68" s="13"/>
      <c r="S68" s="22"/>
    </row>
    <row r="69" spans="1:19">
      <c r="A69" s="26" t="s">
        <v>42</v>
      </c>
      <c r="B69" s="26"/>
      <c r="C69" s="26"/>
      <c r="D69" s="13">
        <v>0.01064</v>
      </c>
      <c r="E69" s="12">
        <v>0.01</v>
      </c>
      <c r="F69" s="13">
        <v>0.01</v>
      </c>
      <c r="G69" s="12">
        <v>0.0098</v>
      </c>
      <c r="H69" s="13">
        <v>0.00965</v>
      </c>
      <c r="I69" s="12">
        <v>0.0094</v>
      </c>
      <c r="J69" s="13">
        <v>0.0092</v>
      </c>
      <c r="K69" s="12"/>
      <c r="L69" s="13"/>
      <c r="M69" s="12"/>
      <c r="N69" s="13"/>
      <c r="O69" s="12"/>
      <c r="P69" s="13"/>
      <c r="Q69" s="12"/>
      <c r="R69" s="13"/>
      <c r="S69" s="22"/>
    </row>
    <row r="70" spans="1:19">
      <c r="A70" s="8">
        <v>10</v>
      </c>
      <c r="B70" s="9" t="s">
        <v>43</v>
      </c>
      <c r="C70" s="10">
        <v>11</v>
      </c>
      <c r="D70" s="11">
        <v>0.0089</v>
      </c>
      <c r="E70" s="12">
        <v>0.0085</v>
      </c>
      <c r="F70" s="13">
        <v>0.0084</v>
      </c>
      <c r="G70" s="12">
        <v>0.0082</v>
      </c>
      <c r="H70" s="13">
        <v>0.0081</v>
      </c>
      <c r="I70" s="12">
        <v>0.0079</v>
      </c>
      <c r="J70" s="13">
        <v>0.0077</v>
      </c>
      <c r="K70" s="12"/>
      <c r="L70" s="13"/>
      <c r="M70" s="12"/>
      <c r="N70" s="13"/>
      <c r="O70" s="12"/>
      <c r="P70" s="13"/>
      <c r="Q70" s="12"/>
      <c r="R70" s="13"/>
      <c r="S70" s="22"/>
    </row>
    <row r="71" spans="1:19">
      <c r="A71" s="8">
        <v>12</v>
      </c>
      <c r="B71" s="9" t="s">
        <v>43</v>
      </c>
      <c r="C71" s="10">
        <v>13</v>
      </c>
      <c r="D71" s="11">
        <v>0.0077</v>
      </c>
      <c r="E71" s="12">
        <v>0.0075</v>
      </c>
      <c r="F71" s="13">
        <v>0.0074</v>
      </c>
      <c r="G71" s="12">
        <v>0.0072</v>
      </c>
      <c r="H71" s="13">
        <v>0.0069</v>
      </c>
      <c r="I71" s="12">
        <v>0.00675</v>
      </c>
      <c r="J71" s="13">
        <v>0.00665</v>
      </c>
      <c r="K71" s="12"/>
      <c r="L71" s="13"/>
      <c r="M71" s="12"/>
      <c r="N71" s="13"/>
      <c r="O71" s="12"/>
      <c r="P71" s="13"/>
      <c r="Q71" s="12"/>
      <c r="R71" s="13"/>
      <c r="S71" s="22"/>
    </row>
    <row r="72" spans="1:19">
      <c r="A72" s="8">
        <v>14</v>
      </c>
      <c r="B72" s="9" t="s">
        <v>43</v>
      </c>
      <c r="C72" s="10">
        <v>15</v>
      </c>
      <c r="D72" s="11">
        <v>0.0068</v>
      </c>
      <c r="E72" s="12">
        <v>0.0066</v>
      </c>
      <c r="F72" s="13">
        <v>0.0064</v>
      </c>
      <c r="G72" s="12">
        <v>0.0062</v>
      </c>
      <c r="H72" s="13">
        <v>0.0059</v>
      </c>
      <c r="I72" s="12">
        <v>0.0057</v>
      </c>
      <c r="J72" s="13">
        <v>0.0055</v>
      </c>
      <c r="K72" s="12"/>
      <c r="L72" s="13"/>
      <c r="M72" s="12"/>
      <c r="N72" s="13"/>
      <c r="O72" s="12"/>
      <c r="P72" s="13"/>
      <c r="Q72" s="12"/>
      <c r="R72" s="13"/>
      <c r="S72" s="22"/>
    </row>
    <row r="73" spans="1:19">
      <c r="A73" s="8">
        <v>16</v>
      </c>
      <c r="B73" s="9" t="s">
        <v>43</v>
      </c>
      <c r="C73" s="10">
        <v>17</v>
      </c>
      <c r="D73" s="11">
        <v>0.00605</v>
      </c>
      <c r="E73" s="12">
        <v>0.0059</v>
      </c>
      <c r="F73" s="13">
        <v>0.00555</v>
      </c>
      <c r="G73" s="12">
        <v>0.0051</v>
      </c>
      <c r="H73" s="13">
        <v>0.0049</v>
      </c>
      <c r="I73" s="12">
        <v>0.0047</v>
      </c>
      <c r="J73" s="13">
        <v>0.0045</v>
      </c>
      <c r="K73" s="12"/>
      <c r="L73" s="13"/>
      <c r="M73" s="12"/>
      <c r="N73" s="13"/>
      <c r="O73" s="12"/>
      <c r="P73" s="13"/>
      <c r="Q73" s="12"/>
      <c r="R73" s="13"/>
      <c r="S73" s="22"/>
    </row>
    <row r="74" spans="1:19">
      <c r="A74" s="8">
        <v>18</v>
      </c>
      <c r="B74" s="9" t="s">
        <v>43</v>
      </c>
      <c r="C74" s="10">
        <v>21</v>
      </c>
      <c r="D74" s="11">
        <v>0.00535</v>
      </c>
      <c r="E74" s="12">
        <v>0.0052</v>
      </c>
      <c r="F74" s="13">
        <v>0.00485</v>
      </c>
      <c r="G74" s="12">
        <v>0.00435</v>
      </c>
      <c r="H74" s="13">
        <v>0.0042</v>
      </c>
      <c r="I74" s="12">
        <v>0.00405</v>
      </c>
      <c r="J74" s="13">
        <v>0.00395</v>
      </c>
      <c r="K74" s="12"/>
      <c r="L74" s="13"/>
      <c r="M74" s="12"/>
      <c r="N74" s="13"/>
      <c r="O74" s="12"/>
      <c r="P74" s="13"/>
      <c r="Q74" s="12"/>
      <c r="R74" s="13"/>
      <c r="S74" s="22"/>
    </row>
    <row r="75" spans="1:19">
      <c r="A75" s="8">
        <v>22</v>
      </c>
      <c r="B75" s="9" t="s">
        <v>43</v>
      </c>
      <c r="C75" s="10">
        <v>26</v>
      </c>
      <c r="D75" s="11">
        <v>0.0047</v>
      </c>
      <c r="E75" s="12">
        <v>0.0045</v>
      </c>
      <c r="F75" s="13">
        <v>0.00425</v>
      </c>
      <c r="G75" s="12">
        <v>0.0039</v>
      </c>
      <c r="H75" s="13">
        <v>0.0036</v>
      </c>
      <c r="I75" s="12">
        <v>0.00357</v>
      </c>
      <c r="J75" s="13">
        <v>0.00355</v>
      </c>
      <c r="K75" s="12"/>
      <c r="L75" s="13"/>
      <c r="M75" s="12"/>
      <c r="N75" s="13"/>
      <c r="O75" s="12"/>
      <c r="P75" s="13"/>
      <c r="Q75" s="12"/>
      <c r="R75" s="13"/>
      <c r="S75" s="22"/>
    </row>
    <row r="76" spans="1:19">
      <c r="A76" s="8">
        <v>27</v>
      </c>
      <c r="B76" s="9" t="s">
        <v>43</v>
      </c>
      <c r="C76" s="10">
        <v>35</v>
      </c>
      <c r="D76" s="32">
        <v>0.0041</v>
      </c>
      <c r="E76" s="22">
        <v>0.0039</v>
      </c>
      <c r="F76" s="21">
        <v>0.00365</v>
      </c>
      <c r="G76" s="22">
        <v>0.00345</v>
      </c>
      <c r="H76" s="21">
        <v>0.0033</v>
      </c>
      <c r="I76" s="22">
        <v>0.0032</v>
      </c>
      <c r="J76" s="21">
        <v>0.00315</v>
      </c>
      <c r="K76" s="22"/>
      <c r="L76" s="13"/>
      <c r="M76" s="22"/>
      <c r="N76" s="21"/>
      <c r="O76" s="22"/>
      <c r="P76" s="13"/>
      <c r="Q76" s="12"/>
      <c r="R76" s="13"/>
      <c r="S76" s="22"/>
    </row>
    <row r="77" spans="1:19">
      <c r="A77" s="8">
        <v>36</v>
      </c>
      <c r="B77" s="9" t="s">
        <v>43</v>
      </c>
      <c r="C77" s="10">
        <v>44</v>
      </c>
      <c r="D77" s="32">
        <v>0.0036</v>
      </c>
      <c r="E77" s="22">
        <v>0.00345</v>
      </c>
      <c r="F77" s="21">
        <v>0.0032</v>
      </c>
      <c r="G77" s="22">
        <v>0.0031</v>
      </c>
      <c r="H77" s="21">
        <v>0.003</v>
      </c>
      <c r="I77" s="22">
        <v>0.00292</v>
      </c>
      <c r="J77" s="21">
        <v>0.00286</v>
      </c>
      <c r="K77" s="22"/>
      <c r="L77" s="21"/>
      <c r="M77" s="22"/>
      <c r="N77" s="21"/>
      <c r="O77" s="22"/>
      <c r="P77" s="13"/>
      <c r="Q77" s="12"/>
      <c r="R77" s="13"/>
      <c r="S77" s="22"/>
    </row>
    <row r="78" spans="1:19">
      <c r="A78" s="8">
        <v>45</v>
      </c>
      <c r="B78" s="9" t="s">
        <v>43</v>
      </c>
      <c r="C78" s="10">
        <v>53</v>
      </c>
      <c r="D78" s="32">
        <v>0.0032</v>
      </c>
      <c r="E78" s="22">
        <v>0.003</v>
      </c>
      <c r="F78" s="21">
        <v>0.0029</v>
      </c>
      <c r="G78" s="22">
        <v>0.0028</v>
      </c>
      <c r="H78" s="21">
        <v>0.00274</v>
      </c>
      <c r="I78" s="22">
        <v>0.00264</v>
      </c>
      <c r="J78" s="21">
        <v>0.00254</v>
      </c>
      <c r="K78" s="22"/>
      <c r="L78" s="21"/>
      <c r="M78" s="22"/>
      <c r="N78" s="21"/>
      <c r="O78" s="22"/>
      <c r="P78" s="21"/>
      <c r="Q78" s="22"/>
      <c r="R78" s="13"/>
      <c r="S78" s="22"/>
    </row>
    <row r="79" spans="1:19">
      <c r="A79" s="8">
        <v>54</v>
      </c>
      <c r="B79" s="9" t="s">
        <v>43</v>
      </c>
      <c r="C79" s="10">
        <v>62</v>
      </c>
      <c r="D79" s="32">
        <v>0.00285</v>
      </c>
      <c r="E79" s="22">
        <v>0.0027</v>
      </c>
      <c r="F79" s="21">
        <v>0.0026</v>
      </c>
      <c r="G79" s="22">
        <v>0.00255</v>
      </c>
      <c r="H79" s="21">
        <v>0.00249</v>
      </c>
      <c r="I79" s="22">
        <v>0.00237</v>
      </c>
      <c r="J79" s="21">
        <v>0.00226</v>
      </c>
      <c r="K79" s="22"/>
      <c r="L79" s="21"/>
      <c r="M79" s="22"/>
      <c r="N79" s="21"/>
      <c r="O79" s="22"/>
      <c r="P79" s="21"/>
      <c r="Q79" s="22"/>
      <c r="R79" s="13"/>
      <c r="S79" s="22"/>
    </row>
    <row r="80" spans="1:19">
      <c r="A80" s="8">
        <v>63</v>
      </c>
      <c r="B80" s="9" t="s">
        <v>43</v>
      </c>
      <c r="C80" s="10">
        <v>71</v>
      </c>
      <c r="D80" s="32">
        <v>0.00255</v>
      </c>
      <c r="E80" s="22">
        <v>0.00246</v>
      </c>
      <c r="F80" s="21">
        <v>0.0024</v>
      </c>
      <c r="G80" s="22">
        <v>0.00235</v>
      </c>
      <c r="H80" s="21">
        <v>0.00226</v>
      </c>
      <c r="I80" s="22">
        <v>0.00215</v>
      </c>
      <c r="J80" s="21">
        <v>0.00204</v>
      </c>
      <c r="K80" s="22"/>
      <c r="L80" s="21"/>
      <c r="M80" s="22"/>
      <c r="N80" s="21"/>
      <c r="O80" s="22"/>
      <c r="P80" s="21"/>
      <c r="Q80" s="22"/>
      <c r="R80" s="13"/>
      <c r="S80" s="22"/>
    </row>
    <row r="81" spans="1:19">
      <c r="A81" s="8">
        <v>72</v>
      </c>
      <c r="B81" s="9" t="s">
        <v>43</v>
      </c>
      <c r="C81" s="10">
        <v>80</v>
      </c>
      <c r="D81" s="32">
        <v>0.0023</v>
      </c>
      <c r="E81" s="22">
        <v>0.00226</v>
      </c>
      <c r="F81" s="21">
        <v>0.0022</v>
      </c>
      <c r="G81" s="22">
        <v>0.00215</v>
      </c>
      <c r="H81" s="21">
        <v>0.00206</v>
      </c>
      <c r="I81" s="22">
        <v>0.00195</v>
      </c>
      <c r="J81" s="21">
        <v>0.00185</v>
      </c>
      <c r="K81" s="22"/>
      <c r="L81" s="21"/>
      <c r="M81" s="22"/>
      <c r="N81" s="21"/>
      <c r="O81" s="22"/>
      <c r="P81" s="21"/>
      <c r="Q81" s="22"/>
      <c r="R81" s="13"/>
      <c r="S81" s="22"/>
    </row>
    <row r="82" spans="1:19">
      <c r="A82" s="8">
        <v>81</v>
      </c>
      <c r="B82" s="9" t="s">
        <v>43</v>
      </c>
      <c r="C82" s="10">
        <v>89</v>
      </c>
      <c r="D82" s="32">
        <v>0.0021</v>
      </c>
      <c r="E82" s="22">
        <v>0.00207</v>
      </c>
      <c r="F82" s="21">
        <v>0.00201</v>
      </c>
      <c r="G82" s="22">
        <v>0.00195</v>
      </c>
      <c r="H82" s="21">
        <v>0.00187</v>
      </c>
      <c r="I82" s="22">
        <v>0.00178</v>
      </c>
      <c r="J82" s="21">
        <v>0.0017</v>
      </c>
      <c r="K82" s="22"/>
      <c r="L82" s="21"/>
      <c r="M82" s="22"/>
      <c r="N82" s="21"/>
      <c r="O82" s="22"/>
      <c r="P82" s="21"/>
      <c r="Q82" s="22"/>
      <c r="R82" s="13"/>
      <c r="S82" s="22"/>
    </row>
    <row r="83" spans="1:19">
      <c r="A83" s="8">
        <v>90</v>
      </c>
      <c r="B83" s="9" t="s">
        <v>43</v>
      </c>
      <c r="C83" s="10">
        <v>98</v>
      </c>
      <c r="D83" s="32">
        <v>0.00192</v>
      </c>
      <c r="E83" s="22">
        <v>0.00191</v>
      </c>
      <c r="F83" s="21">
        <v>0.00183</v>
      </c>
      <c r="G83" s="22">
        <v>0.00175</v>
      </c>
      <c r="H83" s="21">
        <v>0.00169</v>
      </c>
      <c r="I83" s="22">
        <v>0.00162</v>
      </c>
      <c r="J83" s="21">
        <v>0.00156</v>
      </c>
      <c r="K83" s="22"/>
      <c r="L83" s="21"/>
      <c r="M83" s="22"/>
      <c r="N83" s="21"/>
      <c r="O83" s="22"/>
      <c r="P83" s="21"/>
      <c r="Q83" s="22"/>
      <c r="R83" s="13"/>
      <c r="S83" s="22"/>
    </row>
    <row r="84" spans="1:19">
      <c r="A84" s="8">
        <v>99</v>
      </c>
      <c r="B84" s="9" t="s">
        <v>43</v>
      </c>
      <c r="C84" s="10">
        <v>116</v>
      </c>
      <c r="D84" s="32">
        <v>0.00177</v>
      </c>
      <c r="E84" s="22">
        <v>0.00176</v>
      </c>
      <c r="F84" s="21">
        <v>0.00168</v>
      </c>
      <c r="G84" s="22">
        <v>0.00162</v>
      </c>
      <c r="H84" s="21">
        <v>0.00154</v>
      </c>
      <c r="I84" s="22">
        <v>0.0015</v>
      </c>
      <c r="J84" s="21">
        <v>0.00146</v>
      </c>
      <c r="K84" s="22"/>
      <c r="L84" s="21"/>
      <c r="M84" s="22"/>
      <c r="N84" s="21"/>
      <c r="O84" s="22"/>
      <c r="P84" s="21"/>
      <c r="Q84" s="22"/>
      <c r="R84" s="13"/>
      <c r="S84" s="22"/>
    </row>
    <row r="85" spans="1:19">
      <c r="A85" s="8">
        <v>117</v>
      </c>
      <c r="B85" s="9" t="s">
        <v>43</v>
      </c>
      <c r="C85" s="10">
        <v>134</v>
      </c>
      <c r="D85" s="32">
        <v>0.00164</v>
      </c>
      <c r="E85" s="22">
        <v>0.00162</v>
      </c>
      <c r="F85" s="21">
        <v>0.00153</v>
      </c>
      <c r="G85" s="22">
        <v>0.0015</v>
      </c>
      <c r="H85" s="21">
        <v>0.00144</v>
      </c>
      <c r="I85" s="22">
        <v>0.0014</v>
      </c>
      <c r="J85" s="21">
        <v>0.00137</v>
      </c>
      <c r="K85" s="22"/>
      <c r="L85" s="21"/>
      <c r="M85" s="22"/>
      <c r="N85" s="21"/>
      <c r="O85" s="22"/>
      <c r="P85" s="21"/>
      <c r="Q85" s="22"/>
      <c r="R85" s="13"/>
      <c r="S85" s="22"/>
    </row>
    <row r="86" spans="1:19">
      <c r="A86" s="8">
        <v>135</v>
      </c>
      <c r="B86" s="9" t="s">
        <v>43</v>
      </c>
      <c r="C86" s="10">
        <v>152</v>
      </c>
      <c r="D86" s="32">
        <v>0.00152</v>
      </c>
      <c r="E86" s="22">
        <v>0.00149</v>
      </c>
      <c r="F86" s="21">
        <v>0.00143</v>
      </c>
      <c r="G86" s="22">
        <v>0.00139</v>
      </c>
      <c r="H86" s="21">
        <v>0.00134</v>
      </c>
      <c r="I86" s="22">
        <v>0.00131</v>
      </c>
      <c r="J86" s="21">
        <v>0.00128</v>
      </c>
      <c r="K86" s="22"/>
      <c r="L86" s="21"/>
      <c r="M86" s="22"/>
      <c r="N86" s="21"/>
      <c r="O86" s="22"/>
      <c r="P86" s="21"/>
      <c r="Q86" s="22"/>
      <c r="R86" s="13"/>
      <c r="S86" s="22"/>
    </row>
    <row r="87" spans="1:19">
      <c r="A87" s="8">
        <v>153</v>
      </c>
      <c r="B87" s="9" t="s">
        <v>43</v>
      </c>
      <c r="C87" s="10">
        <v>170</v>
      </c>
      <c r="D87" s="32">
        <v>0.00141</v>
      </c>
      <c r="E87" s="22">
        <v>0.00138</v>
      </c>
      <c r="F87" s="21">
        <v>0.00133</v>
      </c>
      <c r="G87" s="22">
        <v>0.00129</v>
      </c>
      <c r="H87" s="21">
        <v>0.00125</v>
      </c>
      <c r="I87" s="22">
        <v>0.00123</v>
      </c>
      <c r="J87" s="21">
        <v>0.00121</v>
      </c>
      <c r="K87" s="22"/>
      <c r="L87" s="21"/>
      <c r="M87" s="22"/>
      <c r="N87" s="21"/>
      <c r="O87" s="22"/>
      <c r="P87" s="21"/>
      <c r="Q87" s="22"/>
      <c r="R87" s="13"/>
      <c r="S87" s="22"/>
    </row>
    <row r="88" spans="1:19">
      <c r="A88" s="8">
        <v>171</v>
      </c>
      <c r="B88" s="9" t="s">
        <v>43</v>
      </c>
      <c r="C88" s="10">
        <v>188</v>
      </c>
      <c r="D88" s="32">
        <v>0.00131</v>
      </c>
      <c r="E88" s="22">
        <v>0.00128</v>
      </c>
      <c r="F88" s="21">
        <v>0.00124</v>
      </c>
      <c r="G88" s="22">
        <v>0.0012</v>
      </c>
      <c r="H88" s="21">
        <v>0.00117</v>
      </c>
      <c r="I88" s="22">
        <v>0.00115</v>
      </c>
      <c r="J88" s="21">
        <v>0.00113</v>
      </c>
      <c r="K88" s="22"/>
      <c r="L88" s="21"/>
      <c r="M88" s="22"/>
      <c r="N88" s="21"/>
      <c r="O88" s="22"/>
      <c r="P88" s="21"/>
      <c r="Q88" s="22"/>
      <c r="R88" s="13"/>
      <c r="S88" s="22"/>
    </row>
    <row r="89" spans="1:19">
      <c r="A89" s="8">
        <v>189</v>
      </c>
      <c r="B89" s="9" t="s">
        <v>43</v>
      </c>
      <c r="C89" s="10">
        <v>215</v>
      </c>
      <c r="D89" s="32">
        <v>0.00122</v>
      </c>
      <c r="E89" s="22">
        <v>0.00119</v>
      </c>
      <c r="F89" s="21">
        <v>0.00115</v>
      </c>
      <c r="G89" s="22">
        <v>0.00112</v>
      </c>
      <c r="H89" s="21">
        <v>0.0011</v>
      </c>
      <c r="I89" s="22">
        <v>0.00108</v>
      </c>
      <c r="J89" s="21">
        <v>0.00106</v>
      </c>
      <c r="K89" s="22"/>
      <c r="L89" s="21"/>
      <c r="M89" s="22"/>
      <c r="N89" s="21"/>
      <c r="O89" s="22"/>
      <c r="P89" s="21"/>
      <c r="Q89" s="22"/>
      <c r="R89" s="13"/>
      <c r="S89" s="22"/>
    </row>
    <row r="90" spans="1:19">
      <c r="A90" s="8">
        <v>216</v>
      </c>
      <c r="B90" s="9" t="s">
        <v>43</v>
      </c>
      <c r="C90" s="10">
        <v>242</v>
      </c>
      <c r="D90" s="32">
        <v>0.00114</v>
      </c>
      <c r="E90" s="22">
        <v>0.00111</v>
      </c>
      <c r="F90" s="21">
        <v>0.00108</v>
      </c>
      <c r="G90" s="22">
        <v>0.00106</v>
      </c>
      <c r="H90" s="21">
        <v>0.00104</v>
      </c>
      <c r="I90" s="22">
        <v>0.00101</v>
      </c>
      <c r="J90" s="21">
        <v>0.00098</v>
      </c>
      <c r="K90" s="22"/>
      <c r="L90" s="21"/>
      <c r="M90" s="22"/>
      <c r="N90" s="21"/>
      <c r="O90" s="22"/>
      <c r="P90" s="21"/>
      <c r="Q90" s="22"/>
      <c r="R90" s="13"/>
      <c r="S90" s="22"/>
    </row>
    <row r="91" spans="1:19">
      <c r="A91" s="8">
        <v>243</v>
      </c>
      <c r="B91" s="9" t="s">
        <v>43</v>
      </c>
      <c r="C91" s="10">
        <v>269</v>
      </c>
      <c r="D91" s="32">
        <v>0.00107</v>
      </c>
      <c r="E91" s="22">
        <v>0.00104</v>
      </c>
      <c r="F91" s="21">
        <v>0.00101</v>
      </c>
      <c r="G91" s="22">
        <v>0.001</v>
      </c>
      <c r="H91" s="21">
        <v>0.00098</v>
      </c>
      <c r="I91" s="22">
        <v>0.00095</v>
      </c>
      <c r="J91" s="21">
        <v>0.00092</v>
      </c>
      <c r="K91" s="22"/>
      <c r="L91" s="21"/>
      <c r="M91" s="22"/>
      <c r="N91" s="21"/>
      <c r="O91" s="22"/>
      <c r="P91" s="21"/>
      <c r="Q91" s="22"/>
      <c r="R91" s="13"/>
      <c r="S91" s="22"/>
    </row>
    <row r="92" spans="1:19">
      <c r="A92" s="8">
        <v>270</v>
      </c>
      <c r="B92" s="9" t="s">
        <v>43</v>
      </c>
      <c r="C92" s="10">
        <v>296</v>
      </c>
      <c r="D92" s="32">
        <v>0.00101</v>
      </c>
      <c r="E92" s="22">
        <v>0.00098</v>
      </c>
      <c r="F92" s="21">
        <v>0.00095</v>
      </c>
      <c r="G92" s="22">
        <v>0.00094</v>
      </c>
      <c r="H92" s="21">
        <v>0.00092</v>
      </c>
      <c r="I92" s="22">
        <v>0.0009</v>
      </c>
      <c r="J92" s="21">
        <v>0.00088</v>
      </c>
      <c r="K92" s="22"/>
      <c r="L92" s="21"/>
      <c r="M92" s="22"/>
      <c r="N92" s="21"/>
      <c r="O92" s="22"/>
      <c r="P92" s="21"/>
      <c r="Q92" s="22"/>
      <c r="R92" s="13"/>
      <c r="S92" s="22"/>
    </row>
    <row r="93" spans="1:19">
      <c r="A93" s="8">
        <v>297</v>
      </c>
      <c r="B93" s="9" t="s">
        <v>43</v>
      </c>
      <c r="C93" s="10">
        <v>323</v>
      </c>
      <c r="D93" s="23"/>
      <c r="E93" s="22">
        <v>0.00093</v>
      </c>
      <c r="F93" s="21">
        <v>0.0009</v>
      </c>
      <c r="G93" s="22">
        <v>0.00089</v>
      </c>
      <c r="H93" s="21">
        <v>0.00087</v>
      </c>
      <c r="I93" s="22">
        <v>0.00085</v>
      </c>
      <c r="J93" s="21">
        <v>0.00083</v>
      </c>
      <c r="K93" s="22"/>
      <c r="L93" s="21"/>
      <c r="M93" s="22"/>
      <c r="N93" s="21"/>
      <c r="O93" s="22"/>
      <c r="P93" s="21"/>
      <c r="Q93" s="22"/>
      <c r="R93" s="13"/>
      <c r="S93" s="22"/>
    </row>
    <row r="94" spans="1:19">
      <c r="A94" s="8">
        <v>324</v>
      </c>
      <c r="B94" s="9" t="s">
        <v>43</v>
      </c>
      <c r="C94" s="10">
        <v>350</v>
      </c>
      <c r="D94" s="23"/>
      <c r="E94" s="23"/>
      <c r="F94" s="21">
        <v>0.00085</v>
      </c>
      <c r="G94" s="22">
        <v>0.00084</v>
      </c>
      <c r="H94" s="21">
        <v>0.00082</v>
      </c>
      <c r="I94" s="22">
        <v>0.0008</v>
      </c>
      <c r="J94" s="21">
        <v>0.00078</v>
      </c>
      <c r="K94" s="22"/>
      <c r="L94" s="21"/>
      <c r="M94" s="22"/>
      <c r="N94" s="21"/>
      <c r="O94" s="22"/>
      <c r="P94" s="21"/>
      <c r="Q94" s="22"/>
      <c r="R94" s="13"/>
      <c r="S94" s="22"/>
    </row>
    <row r="95" spans="1:19">
      <c r="A95" s="8">
        <v>351</v>
      </c>
      <c r="B95" s="9" t="s">
        <v>43</v>
      </c>
      <c r="C95" s="10">
        <v>377</v>
      </c>
      <c r="D95" s="23"/>
      <c r="E95" s="23"/>
      <c r="F95" s="23"/>
      <c r="G95" s="22">
        <v>0.00079</v>
      </c>
      <c r="H95" s="21">
        <v>0.00078</v>
      </c>
      <c r="I95" s="22">
        <v>0.00076</v>
      </c>
      <c r="J95" s="21">
        <v>0.00074</v>
      </c>
      <c r="K95" s="22"/>
      <c r="L95" s="21"/>
      <c r="M95" s="22"/>
      <c r="N95" s="21"/>
      <c r="O95" s="22"/>
      <c r="P95" s="21"/>
      <c r="Q95" s="22"/>
      <c r="R95" s="13"/>
      <c r="S95" s="22"/>
    </row>
    <row r="96" spans="1:19">
      <c r="A96" s="8">
        <v>378</v>
      </c>
      <c r="B96" s="9" t="s">
        <v>43</v>
      </c>
      <c r="C96" s="10">
        <v>404</v>
      </c>
      <c r="D96" s="23"/>
      <c r="E96" s="23"/>
      <c r="F96" s="23"/>
      <c r="G96" s="23"/>
      <c r="H96" s="21">
        <v>0.00074</v>
      </c>
      <c r="I96" s="22">
        <v>0.00072</v>
      </c>
      <c r="J96" s="21">
        <v>0.0007</v>
      </c>
      <c r="K96" s="22"/>
      <c r="L96" s="21"/>
      <c r="M96" s="22"/>
      <c r="N96" s="21"/>
      <c r="O96" s="22"/>
      <c r="P96" s="21"/>
      <c r="Q96" s="22"/>
      <c r="R96" s="13"/>
      <c r="S96" s="22"/>
    </row>
    <row r="97" spans="1:19">
      <c r="A97" s="8">
        <v>405</v>
      </c>
      <c r="B97" s="9" t="s">
        <v>43</v>
      </c>
      <c r="C97" s="10">
        <v>431</v>
      </c>
      <c r="D97" s="23"/>
      <c r="E97" s="23"/>
      <c r="F97" s="23"/>
      <c r="G97" s="23"/>
      <c r="H97" s="23"/>
      <c r="I97" s="22">
        <v>0.00069</v>
      </c>
      <c r="J97" s="21">
        <v>0.00067</v>
      </c>
      <c r="K97" s="22"/>
      <c r="L97" s="21"/>
      <c r="M97" s="22"/>
      <c r="N97" s="21"/>
      <c r="O97" s="22"/>
      <c r="P97" s="21"/>
      <c r="Q97" s="22"/>
      <c r="R97" s="13"/>
      <c r="S97" s="22"/>
    </row>
    <row r="98" spans="1:19">
      <c r="A98" s="8">
        <v>432</v>
      </c>
      <c r="B98" s="9" t="s">
        <v>43</v>
      </c>
      <c r="C98" s="10">
        <v>458</v>
      </c>
      <c r="D98" s="23"/>
      <c r="E98" s="23"/>
      <c r="F98" s="23"/>
      <c r="G98" s="23"/>
      <c r="H98" s="23"/>
      <c r="I98" s="23"/>
      <c r="J98" s="21">
        <v>0.00064</v>
      </c>
      <c r="K98" s="22"/>
      <c r="L98" s="21"/>
      <c r="M98" s="22"/>
      <c r="N98" s="21"/>
      <c r="O98" s="22"/>
      <c r="P98" s="21"/>
      <c r="Q98" s="22"/>
      <c r="R98" s="13"/>
      <c r="S98" s="22"/>
    </row>
    <row r="99" spans="1:19">
      <c r="A99" s="8"/>
      <c r="B99" s="9" t="s">
        <v>43</v>
      </c>
      <c r="C99" s="10"/>
      <c r="D99" s="23"/>
      <c r="E99" s="23"/>
      <c r="F99" s="23"/>
      <c r="G99" s="23"/>
      <c r="H99" s="23"/>
      <c r="I99" s="23"/>
      <c r="J99" s="23"/>
      <c r="K99" s="22"/>
      <c r="L99" s="21"/>
      <c r="M99" s="22"/>
      <c r="N99" s="21"/>
      <c r="O99" s="22"/>
      <c r="P99" s="21"/>
      <c r="Q99" s="22"/>
      <c r="R99" s="13"/>
      <c r="S99" s="22"/>
    </row>
    <row r="100" spans="1:19">
      <c r="A100" s="8"/>
      <c r="B100" s="9" t="s">
        <v>43</v>
      </c>
      <c r="C100" s="10"/>
      <c r="D100" s="23"/>
      <c r="E100" s="23"/>
      <c r="F100" s="23"/>
      <c r="G100" s="23"/>
      <c r="H100" s="23"/>
      <c r="I100" s="23"/>
      <c r="J100" s="23"/>
      <c r="K100" s="23"/>
      <c r="L100" s="21"/>
      <c r="M100" s="22"/>
      <c r="N100" s="21"/>
      <c r="O100" s="22"/>
      <c r="P100" s="21"/>
      <c r="Q100" s="22"/>
      <c r="R100" s="13"/>
      <c r="S100" s="22"/>
    </row>
    <row r="101" spans="1:19">
      <c r="A101" s="8"/>
      <c r="B101" s="9" t="s">
        <v>43</v>
      </c>
      <c r="C101" s="10"/>
      <c r="D101" s="23"/>
      <c r="E101" s="23"/>
      <c r="F101" s="23"/>
      <c r="G101" s="23"/>
      <c r="H101" s="23"/>
      <c r="I101" s="23"/>
      <c r="J101" s="23"/>
      <c r="K101" s="23"/>
      <c r="L101" s="23"/>
      <c r="M101" s="22"/>
      <c r="N101" s="21"/>
      <c r="O101" s="22"/>
      <c r="P101" s="21"/>
      <c r="Q101" s="22"/>
      <c r="R101" s="13"/>
      <c r="S101" s="22"/>
    </row>
    <row r="102" spans="1:19">
      <c r="A102" s="8"/>
      <c r="B102" s="9" t="s">
        <v>43</v>
      </c>
      <c r="C102" s="10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1"/>
      <c r="O102" s="22"/>
      <c r="P102" s="21"/>
      <c r="Q102" s="22"/>
      <c r="R102" s="13"/>
      <c r="S102" s="22"/>
    </row>
    <row r="103" spans="1:19">
      <c r="A103" s="8"/>
      <c r="B103" s="9" t="s">
        <v>43</v>
      </c>
      <c r="C103" s="10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1"/>
      <c r="P103" s="21"/>
      <c r="Q103" s="22"/>
      <c r="R103" s="13"/>
      <c r="S103" s="22"/>
    </row>
    <row r="104" spans="1:19">
      <c r="A104" s="8"/>
      <c r="B104" s="9" t="s">
        <v>43</v>
      </c>
      <c r="C104" s="10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1"/>
      <c r="Q104" s="22"/>
      <c r="R104" s="13"/>
      <c r="S104" s="22"/>
    </row>
    <row r="105" spans="1:19">
      <c r="A105" s="8"/>
      <c r="B105" s="9" t="s">
        <v>43</v>
      </c>
      <c r="C105" s="10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2"/>
      <c r="R105" s="13"/>
      <c r="S105" s="22"/>
    </row>
    <row r="106" spans="1:19">
      <c r="A106" s="8"/>
      <c r="B106" s="9" t="s">
        <v>43</v>
      </c>
      <c r="C106" s="10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13"/>
      <c r="S106" s="22"/>
    </row>
    <row r="107" spans="1:19">
      <c r="A107" s="8"/>
      <c r="B107" s="9" t="s">
        <v>43</v>
      </c>
      <c r="C107" s="10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31"/>
      <c r="S107" s="22"/>
    </row>
    <row r="108" spans="1:19">
      <c r="A108" s="16"/>
      <c r="B108" s="16"/>
      <c r="C108" s="16"/>
      <c r="D108" s="24">
        <f>SUM(D60:D69)+($C70-$A70+1)*D70+($C71-$A71+1)*D71+($C72-$A72+1)*D72+($C73-$A73+1)*D73+($C74-$A74+1)*D74+($C75-$A75+1)*D75+($C76-$A76+1)*D76+($C77-$A77+1)*D77+($C78-$A78+1)*D78+($C79-$A79+1)*D79+($C80-$A80+1)*D80+($C81-$A81+1)*D81+($C82-$A82+1)*D82+($C83-$A83+1)*D83+($C84-$A84+1)*D84+($C85-$A85+1)*D85+($C86-$A86+1)*D86+($C87-$A87+1)*D87+($C88-$A88+1)*D88+($C89-$A89+1)*D89+($C90-$A90+1)*D90+($C91-$A91+1)*D91+($C92-$A92+1)*D92+($C93-$A93+1)*D93+($C94-$A94+1)*D94+($C95-$A95+1)*D95+($C96-$A96+1)*D96+($C97-$A97+1)*D97+($C98-$A98+1)*D98</f>
        <v>1</v>
      </c>
      <c r="E108" s="25">
        <f t="shared" ref="E108:S108" si="5">SUM(E60:E69)+($C70-$A70+1)*E70+($C71-$A71+1)*E71+($C72-$A72+1)*E72+($C73-$A73+1)*E73+($C74-$A74+1)*E74+($C75-$A75+1)*E75+($C76-$A76+1)*E76+($C77-$A77+1)*E77+($C78-$A78+1)*E78+($C79-$A79+1)*E79+($C80-$A80+1)*E80+($C81-$A81+1)*E81+($C82-$A82+1)*E82+($C83-$A83+1)*E83+($C84-$A84+1)*E84+($C85-$A85+1)*E85+($C86-$A86+1)*E86+($C87-$A87+1)*E87+($C88-$A88+1)*E88+($C89-$A89+1)*E89+($C90-$A90+1)*E90+($C91-$A91+1)*E91+($C92-$A92+1)*E92+($C93-$A93+1)*E93+($C94-$A94+1)*E94+($C95-$A95+1)*E95+($C96-$A96+1)*E96+($C97-$A97+1)*E97+($C98-$A98+1)*E98</f>
        <v>1</v>
      </c>
      <c r="F108" s="24">
        <f t="shared" si="5"/>
        <v>1</v>
      </c>
      <c r="G108" s="25">
        <f t="shared" si="5"/>
        <v>1</v>
      </c>
      <c r="H108" s="24">
        <f t="shared" si="5"/>
        <v>1</v>
      </c>
      <c r="I108" s="25">
        <f t="shared" si="5"/>
        <v>1</v>
      </c>
      <c r="J108" s="24">
        <f t="shared" si="5"/>
        <v>0.99999</v>
      </c>
      <c r="K108" s="25">
        <f t="shared" si="5"/>
        <v>0</v>
      </c>
      <c r="L108" s="24">
        <f t="shared" si="5"/>
        <v>0</v>
      </c>
      <c r="M108" s="25">
        <f t="shared" si="5"/>
        <v>0</v>
      </c>
      <c r="N108" s="24">
        <f>SUM(N60:N69)+($C70-$A70+1)*N70+($C71-$A71+1)*N71+($C72-$A72+1)*N72+($C73-$A73+1)*N73+($C74-$A74+1)*N74+($C75-$A75+1)*N75+($C76-$A76+1)*N76+($C77-$A77+1)*N77+($C78-$A78+1)*N78+($C79-$A79+1)*N79+($C80-$A80+1)*N80+($C81-$A81+1)*N81+($C82-$A82+1)*N82+($C83-$A83+1)*N83+($C84-$A84+1)*N84+($C85-$A85+1)*N85+($C86-$A86+1)*N86+($C87-$A87+1)*N87+($C88-$A88+1)*N88+($C89-$A89+1)*N89+($C90-$A90+1)*N90+($C91-$A91+1)*N91+($C92-$A92+1)*N92+($C93-$A93+1)*N93+($C94-$A94+1)*N94+($C95-$A95+1)*N95+($C96-$A96+1)*N96+($C97-$A97+1)*N97+($C98-$A98+1)*N98</f>
        <v>0</v>
      </c>
      <c r="O108" s="25">
        <f t="shared" si="5"/>
        <v>0</v>
      </c>
      <c r="P108" s="24">
        <f t="shared" si="5"/>
        <v>0</v>
      </c>
      <c r="Q108" s="25">
        <f t="shared" si="5"/>
        <v>0</v>
      </c>
      <c r="R108" s="24">
        <f t="shared" si="5"/>
        <v>0</v>
      </c>
      <c r="S108" s="25">
        <f t="shared" si="5"/>
        <v>0</v>
      </c>
    </row>
    <row r="109" spans="1:19">
      <c r="A109" s="16"/>
      <c r="B109" s="16"/>
      <c r="C109" s="16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</row>
  </sheetData>
  <mergeCells count="33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</mergeCells>
  <pageMargins left="0.25" right="0.25" top="0.75" bottom="0.75" header="0.3" footer="0.3"/>
  <pageSetup paperSize="1" scale="72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Premiação de torneio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Ferreira</dc:creator>
  <cp:lastModifiedBy>renat</cp:lastModifiedBy>
  <dcterms:created xsi:type="dcterms:W3CDTF">2022-10-24T21:20:00Z</dcterms:created>
  <cp:lastPrinted>2022-10-25T16:06:00Z</cp:lastPrinted>
  <dcterms:modified xsi:type="dcterms:W3CDTF">2023-08-25T21:42:30Z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1AEF5AA542464DDF9ABC127FF5F8E856</vt:lpwstr>
  </property>
  <property fmtid="{D5CDD505-2E9C-101B-9397-08002B2CF9AE}" pid="3" name="KSOProductBuildVer">
    <vt:lpwstr>1046-12.2.0.13193</vt:lpwstr>
  </property>
</Properties>
</file>